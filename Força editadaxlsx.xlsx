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gabriel.silva\Desktop\"/>
    </mc:Choice>
  </mc:AlternateContent>
  <bookViews>
    <workbookView xWindow="0" yWindow="0" windowWidth="21570" windowHeight="7365"/>
  </bookViews>
  <sheets>
    <sheet name="Força de Trabalho - AEB" sheetId="1" r:id="rId1"/>
    <sheet name="Quantidade por área" sheetId="3" r:id="rId2"/>
    <sheet name="REQUISITADOS - CEDIDOS - MOVI." sheetId="4" r:id="rId3"/>
    <sheet name="EFETIVOS E SEM VÍNCULO" sheetId="6" r:id="rId4"/>
    <sheet name="LICENÇAS" sheetId="5" r:id="rId5"/>
    <sheet name="Cargos vagos" sheetId="7" r:id="rId6"/>
  </sheets>
  <definedNames>
    <definedName name="_xlnm._FilterDatabase" localSheetId="3" hidden="1">'EFETIVOS E SEM VÍNCULO'!$B$1:$B$72</definedName>
    <definedName name="_xlnm._FilterDatabase" localSheetId="0" hidden="1">'Força de Trabalho - AEB'!$B$1:$B$289</definedName>
    <definedName name="_xlnm._FilterDatabase" localSheetId="2" hidden="1">'REQUISITADOS - CEDIDOS - MOVI.'!$A$2:$C$2</definedName>
    <definedName name="_xlnm.Print_Area" localSheetId="0">'Força de Trabalho - AEB'!$A$1:$G$280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7" l="1"/>
  <c r="D4" i="7"/>
  <c r="D2" i="7"/>
  <c r="D5" i="7" s="1"/>
  <c r="C2" i="3"/>
  <c r="C3" i="3"/>
  <c r="C4" i="3"/>
  <c r="C5" i="3"/>
  <c r="C6" i="3"/>
  <c r="C7" i="3"/>
  <c r="C8" i="3"/>
  <c r="C10" i="3"/>
  <c r="C11" i="3"/>
  <c r="C12" i="3"/>
  <c r="C13" i="3"/>
  <c r="C14" i="3"/>
  <c r="C15" i="3"/>
  <c r="C16" i="3" l="1"/>
</calcChain>
</file>

<file path=xl/sharedStrings.xml><?xml version="1.0" encoding="utf-8"?>
<sst xmlns="http://schemas.openxmlformats.org/spreadsheetml/2006/main" count="1331" uniqueCount="368">
  <si>
    <t>Presidência - PRE</t>
  </si>
  <si>
    <t>Name</t>
  </si>
  <si>
    <t>Situação</t>
  </si>
  <si>
    <t>Cargo Efetivo</t>
  </si>
  <si>
    <t>sigla Dir</t>
  </si>
  <si>
    <t>Sigla Coor</t>
  </si>
  <si>
    <t>RAMAIS - 2033.</t>
  </si>
  <si>
    <t>Marco Antonio Chamon</t>
  </si>
  <si>
    <t>INPE</t>
  </si>
  <si>
    <t>Presidente</t>
  </si>
  <si>
    <t>PRE</t>
  </si>
  <si>
    <t>Michelly Sampaio Gomes de Morais</t>
  </si>
  <si>
    <t>Secretária Executiva Bilíngue</t>
  </si>
  <si>
    <t/>
  </si>
  <si>
    <t>Ediléia Fátima Gregolin</t>
  </si>
  <si>
    <t>Unidade Regional de Alcântara - URMA</t>
  </si>
  <si>
    <t>Danielle Ferreira de Andrade</t>
  </si>
  <si>
    <t>S/ vinculo</t>
  </si>
  <si>
    <t>Coordenador</t>
  </si>
  <si>
    <t>URMA</t>
  </si>
  <si>
    <t xml:space="preserve">Diogo Mairon Cunha Xavier </t>
  </si>
  <si>
    <t>Ativo</t>
  </si>
  <si>
    <t>Tecnologista</t>
  </si>
  <si>
    <t>Carlos Magno Ferreira Chaves</t>
  </si>
  <si>
    <t>Assistente Administrativo</t>
  </si>
  <si>
    <t>Dedna Diniz</t>
  </si>
  <si>
    <t>Milena Cristina Ribeiro Moraes</t>
  </si>
  <si>
    <t>Giovanni Nixon Costa Cunha</t>
  </si>
  <si>
    <t>Auxiliar de Serviços Gerais</t>
  </si>
  <si>
    <t>Hermison Santos Martins</t>
  </si>
  <si>
    <t>Motorista</t>
  </si>
  <si>
    <t xml:space="preserve">Maria Luiza Monteiro </t>
  </si>
  <si>
    <t>Estagiário</t>
  </si>
  <si>
    <t>Unidade Regional de Natal - URRN</t>
  </si>
  <si>
    <t>Adriana Elysa Alimandro Correa</t>
  </si>
  <si>
    <t>URRN</t>
  </si>
  <si>
    <t>Alex Carlos Rodrigues Alves</t>
  </si>
  <si>
    <t xml:space="preserve">Izabela de Souza Pereira </t>
  </si>
  <si>
    <t>Lidiane Simões Caceres</t>
  </si>
  <si>
    <t>Duran Silva Vasconcelos</t>
  </si>
  <si>
    <t>Mykarla Xavier Emerenciano</t>
  </si>
  <si>
    <t>Wellenson Emerson Duarte de Andrade</t>
  </si>
  <si>
    <t>Unidade Regional de São José dos Campos - URSJC</t>
  </si>
  <si>
    <t>Alexandre Macedo de Oliveira</t>
  </si>
  <si>
    <t>URSJC</t>
  </si>
  <si>
    <t>Mônica Elizabeth Rocha de Oliveira</t>
  </si>
  <si>
    <t>Analista em C&amp;T</t>
  </si>
  <si>
    <t>Juliano Raphael Simões de Souza</t>
  </si>
  <si>
    <t>Brunalice de Matos Mercer</t>
  </si>
  <si>
    <t>Brenda Ribeiro Barbosa</t>
  </si>
  <si>
    <t>Gabinete - GAB</t>
  </si>
  <si>
    <t>Leticia Vilani Morosino</t>
  </si>
  <si>
    <t>Chefe de Gabinete</t>
  </si>
  <si>
    <t>GAB</t>
  </si>
  <si>
    <t>João Sergio Beserra de Lima</t>
  </si>
  <si>
    <t>Assessor Técnico</t>
  </si>
  <si>
    <t>Priscila Hardman Rodrigues de Carvalho</t>
  </si>
  <si>
    <t>Assistente em C&amp;T</t>
  </si>
  <si>
    <t>Chefe de Serviço</t>
  </si>
  <si>
    <t>Rose Maria do Nascimento</t>
  </si>
  <si>
    <t xml:space="preserve">Denise da Silva Batista </t>
  </si>
  <si>
    <t xml:space="preserve">Hiris de Paulo Martins </t>
  </si>
  <si>
    <t xml:space="preserve">Rodrigo Batagello </t>
  </si>
  <si>
    <t>Erik Busnello Imbuzeiro</t>
  </si>
  <si>
    <t>Rosiane dos Reis Nascimento</t>
  </si>
  <si>
    <t xml:space="preserve">Nathalia Medeiros Leite Aleixo </t>
  </si>
  <si>
    <t>Ouvidoria - OUV</t>
  </si>
  <si>
    <t>Fernanda de Paula Lobo Nascimento</t>
  </si>
  <si>
    <t>OUV</t>
  </si>
  <si>
    <t>Morgana Maria de Amorim Gomes Pedrosa</t>
  </si>
  <si>
    <t>Assessoria de Relações Institucionais e Comunicação - ARI</t>
  </si>
  <si>
    <t>Edvaldo Dias da Silva</t>
  </si>
  <si>
    <t>Chefe de Assessoria</t>
  </si>
  <si>
    <t>ARI</t>
  </si>
  <si>
    <t>Luciana Guedes Cotrim da Silva</t>
  </si>
  <si>
    <t>CODEVASF</t>
  </si>
  <si>
    <t>CCS</t>
  </si>
  <si>
    <t>Tânia Eduarda Baserra da Costa</t>
  </si>
  <si>
    <t>Chefe de Divisão</t>
  </si>
  <si>
    <t>CRI</t>
  </si>
  <si>
    <t xml:space="preserve">Maria Amélia Murad Haickel </t>
  </si>
  <si>
    <t xml:space="preserve">Paulo Griese Brunet </t>
  </si>
  <si>
    <t>Jhony Everton Vieira da Silva</t>
  </si>
  <si>
    <t>Maria Emília Mello Gomes</t>
  </si>
  <si>
    <t>Thiago Romeiro Fidalgo de Sousa</t>
  </si>
  <si>
    <t>Alan Carlos Bezerra Vieira</t>
  </si>
  <si>
    <t>Silmara Vieira de Oliveira</t>
  </si>
  <si>
    <t>Gabriel Vinicius Mendes Soares de Sousa</t>
  </si>
  <si>
    <t>Marcos Carlos Almeida Teixeira</t>
  </si>
  <si>
    <t>Procuradoria Federal - PF</t>
  </si>
  <si>
    <t>Ian Grosner</t>
  </si>
  <si>
    <t>AGU</t>
  </si>
  <si>
    <t>Chefe de Procuradoria</t>
  </si>
  <si>
    <t>PF</t>
  </si>
  <si>
    <t>Henrique Tróccoli Junior</t>
  </si>
  <si>
    <t xml:space="preserve">Rodrigo Furtado Arraes Mendes </t>
  </si>
  <si>
    <t>Francisca Galvão Marques</t>
  </si>
  <si>
    <t>Assessoria de Cooperação Internacional - ACI</t>
  </si>
  <si>
    <t>Márcia Alvarenga dos Santos</t>
  </si>
  <si>
    <t>ACI</t>
  </si>
  <si>
    <t>Marcus Vinícius da Silva Oliveira</t>
  </si>
  <si>
    <t>Alan Jayme Veloso Freitas</t>
  </si>
  <si>
    <t>Alexandra Borges da Silva</t>
  </si>
  <si>
    <t>Maria de Lurdes Catto Ribeiro e Oliveira</t>
  </si>
  <si>
    <t xml:space="preserve">Vanessa de Souza Silva Santos </t>
  </si>
  <si>
    <t>Auditoria Interna - AUDIN</t>
  </si>
  <si>
    <t xml:space="preserve">Roberto Carlos Andrade </t>
  </si>
  <si>
    <t>CGU</t>
  </si>
  <si>
    <t>Auditor-Chefe</t>
  </si>
  <si>
    <t>AUDIN</t>
  </si>
  <si>
    <t>Gilson Mendes Maciel</t>
  </si>
  <si>
    <t>Gabriela Delgado de Oliveira e Silva</t>
  </si>
  <si>
    <t>Diretoria de Planejamento, Orçamento e Administração - DPOA</t>
  </si>
  <si>
    <t>Vanessa Murta Rezende</t>
  </si>
  <si>
    <t>MCTI</t>
  </si>
  <si>
    <t>Diretor</t>
  </si>
  <si>
    <t>DPOA</t>
  </si>
  <si>
    <t>Camila Silva Brauna</t>
  </si>
  <si>
    <t>Carla Elisandra Camplo da Silva</t>
  </si>
  <si>
    <t>Fernando Silva de Souza</t>
  </si>
  <si>
    <t>Assistente</t>
  </si>
  <si>
    <t>Elaine Alves da Silva</t>
  </si>
  <si>
    <t>Secretária Executiva</t>
  </si>
  <si>
    <t>Alessandra Santos Araújo</t>
  </si>
  <si>
    <t>Coordenação de Orçamento e Finanças - COF</t>
  </si>
  <si>
    <t>Antonio Cristovão dos Santos</t>
  </si>
  <si>
    <t>COF</t>
  </si>
  <si>
    <t>Paulo Eduardo Rocha Pinto</t>
  </si>
  <si>
    <t xml:space="preserve">Francisco José da Silva Júnior </t>
  </si>
  <si>
    <t>Renato José de Sousa</t>
  </si>
  <si>
    <t>S/ vinculo EF</t>
  </si>
  <si>
    <t>Gilmar de Sousa Silva</t>
  </si>
  <si>
    <t>Francisca Isilda de Brito Feitosa Souza</t>
  </si>
  <si>
    <t>Marcelo Rocha de Cerqueira</t>
  </si>
  <si>
    <t>Stéfany de Castro Queiroz</t>
  </si>
  <si>
    <t>Vitor José Ferreira</t>
  </si>
  <si>
    <t>Zildene Sena da Cunha</t>
  </si>
  <si>
    <t>Coordenação de Tecnologia da Informação - CTI</t>
  </si>
  <si>
    <t>Anderson Malta da Silva</t>
  </si>
  <si>
    <t>CTI</t>
  </si>
  <si>
    <t>Chesllen da Silva Pereira</t>
  </si>
  <si>
    <t>Ricardo Pereira Nunes Santos</t>
  </si>
  <si>
    <t>MGI</t>
  </si>
  <si>
    <t>Milton Cesar Disegna de Sousa Leite</t>
  </si>
  <si>
    <t>GSISP</t>
  </si>
  <si>
    <t>Airton Jordani Jardim Filho</t>
  </si>
  <si>
    <t xml:space="preserve">Eliaquim Monteiro Ramos </t>
  </si>
  <si>
    <t>Jonas Gabriel Silva Santos</t>
  </si>
  <si>
    <t>Wesley Bruno de Jesus Pereira</t>
  </si>
  <si>
    <t>Riany Melo Ximenes</t>
  </si>
  <si>
    <t>Bianca Simas Wolfgram</t>
  </si>
  <si>
    <t>Isabella Balbueno Romão</t>
  </si>
  <si>
    <t>Anna Beatriz Resende Oki Corrêa</t>
  </si>
  <si>
    <t>Coordenação de Gestão de Pessoas - CGP</t>
  </si>
  <si>
    <t>Wando Wellinton Pereira de Sá</t>
  </si>
  <si>
    <t>CGP</t>
  </si>
  <si>
    <t>Clayton Martins Silva</t>
  </si>
  <si>
    <t>Ana Paula Moreira Alves</t>
  </si>
  <si>
    <t>Brenda Lopes dos Santos</t>
  </si>
  <si>
    <t>Rodrigo Alves de Lima</t>
  </si>
  <si>
    <t>Sara Salsa Papaleo</t>
  </si>
  <si>
    <t>Lucas Bispo Cavalcante</t>
  </si>
  <si>
    <t>Renata Felipelli Maia</t>
  </si>
  <si>
    <t>Samara Bezerra Dias</t>
  </si>
  <si>
    <t>Suiane da Costa</t>
  </si>
  <si>
    <t>Taissa Queiroz Santos</t>
  </si>
  <si>
    <t>VAGO</t>
  </si>
  <si>
    <t xml:space="preserve">André Ribamar Martins da Silva </t>
  </si>
  <si>
    <t>Coordenação de Administração - COAD</t>
  </si>
  <si>
    <t>Valéria Sousa de Negreiros</t>
  </si>
  <si>
    <t>COAD</t>
  </si>
  <si>
    <t>Leonardo Bezerra de Oliveira</t>
  </si>
  <si>
    <t>Clemilton Pereira da Silva</t>
  </si>
  <si>
    <t>Sonia Maria Ferreira dos Santos</t>
  </si>
  <si>
    <t>Edivaldo Sousa Gonçalves</t>
  </si>
  <si>
    <t>Francisco de Carvalho Dias</t>
  </si>
  <si>
    <t xml:space="preserve">Manuella Oliveira Nascimento </t>
  </si>
  <si>
    <t>Julliana dos Santos Costa</t>
  </si>
  <si>
    <t>Encarregado</t>
  </si>
  <si>
    <t>Alessandro Ribeiro Alves</t>
  </si>
  <si>
    <t>Nayara Bárbara de Souza Campos</t>
  </si>
  <si>
    <t>Thaisa Alves Pereira</t>
  </si>
  <si>
    <t>Bruna Rodrigues Barbosa</t>
  </si>
  <si>
    <t>Francisco de Assis Bento Filho</t>
  </si>
  <si>
    <t>Larissa Ribeiro Alves</t>
  </si>
  <si>
    <t>Fernando Antônio Silva Ferreira</t>
  </si>
  <si>
    <t>Luisa Barbosa Alves</t>
  </si>
  <si>
    <t>Erick Danielson de Lima Freitas</t>
  </si>
  <si>
    <t>Pedro Vinicius Lopes dos Santos</t>
  </si>
  <si>
    <t>Jarlan Manoel dos Santos</t>
  </si>
  <si>
    <t> </t>
  </si>
  <si>
    <t>Gabriela Nunes Lima</t>
  </si>
  <si>
    <t>Andreza Silva Souza</t>
  </si>
  <si>
    <t>Recepcionista</t>
  </si>
  <si>
    <t>Graciete Oliveira Abreu</t>
  </si>
  <si>
    <t>Michelli Almeida Rosa Rocha</t>
  </si>
  <si>
    <t>Erislane de Carvalho Barroso</t>
  </si>
  <si>
    <t>Gilmar Rodrigues Mourão</t>
  </si>
  <si>
    <t>Jose Estevao Gomes</t>
  </si>
  <si>
    <t>João Evangelista Pereira Barbosa</t>
  </si>
  <si>
    <t>Bruno Cesar Silva</t>
  </si>
  <si>
    <t>Guilherme Araújo Sousa</t>
  </si>
  <si>
    <t>Junio Felicio de Souza</t>
  </si>
  <si>
    <t>Carlos Alberto Barbosa</t>
  </si>
  <si>
    <t>Matheus Silva Aquino Campos</t>
  </si>
  <si>
    <t>Taigor Santana de Andrade</t>
  </si>
  <si>
    <t xml:space="preserve">Pedro Henrick de Oliveira Monteiro </t>
  </si>
  <si>
    <t>Gabriella Victoria Macedo Nehme</t>
  </si>
  <si>
    <t>Giovanna Sampaio Medeiros Rocha</t>
  </si>
  <si>
    <t xml:space="preserve">Nicolly Aghata dos Santos Costa </t>
  </si>
  <si>
    <t>Diretoria de Governança do Setor Espacial - DGSE</t>
  </si>
  <si>
    <t>Rogério Luiz Veríssimo Cruz</t>
  </si>
  <si>
    <t>DGSE</t>
  </si>
  <si>
    <t>Marcio Akira Harada</t>
  </si>
  <si>
    <t>CMA</t>
  </si>
  <si>
    <t>Fernanda Lins Leal Uchôa de Lima</t>
  </si>
  <si>
    <t>CPP</t>
  </si>
  <si>
    <t>Fábio França Silva Araújo</t>
  </si>
  <si>
    <t>CEG</t>
  </si>
  <si>
    <t>Pamela Mayara Fernandes Nunes</t>
  </si>
  <si>
    <t>Paulo Estevão de Oliveira</t>
  </si>
  <si>
    <t>Simonny Valeria Soares</t>
  </si>
  <si>
    <t>Isaac Teles de Souza</t>
  </si>
  <si>
    <t>Jhonata Barbosa da Silva</t>
  </si>
  <si>
    <t>André Inácio do Carmo</t>
  </si>
  <si>
    <t>Crystiane Andrade Sousa Tiemann</t>
  </si>
  <si>
    <t xml:space="preserve">Roberto Alves Quental Júnior </t>
  </si>
  <si>
    <t>Roberto Diniz Ramalho da Rocha</t>
  </si>
  <si>
    <t>Luis Gustavo Pereira de Oliveira</t>
  </si>
  <si>
    <t>Shayane Vieira Guerra</t>
  </si>
  <si>
    <t>Bernardo dos Santos Veras</t>
  </si>
  <si>
    <t>Shennara dos Santos Ramadan</t>
  </si>
  <si>
    <t>Willyan Marques de Melo</t>
  </si>
  <si>
    <t xml:space="preserve">Daniel Oscar Gurgel de Miranda </t>
  </si>
  <si>
    <t>Diretoria de Gestão de Portifólio - DGEP</t>
  </si>
  <si>
    <t>Rodrigo Leonardi</t>
  </si>
  <si>
    <t>DGEP</t>
  </si>
  <si>
    <t>Carlos Eduardo Quintanilha Vaz de Oliveira</t>
  </si>
  <si>
    <t>CSS</t>
  </si>
  <si>
    <t>Fábio Rezende Prado dos Santos</t>
  </si>
  <si>
    <t>CVL</t>
  </si>
  <si>
    <t>Felipe Ferreira Fraga</t>
  </si>
  <si>
    <t>CSA</t>
  </si>
  <si>
    <t xml:space="preserve">Fernanda Coff Dias </t>
  </si>
  <si>
    <t>Danilo Queirós de Freitas</t>
  </si>
  <si>
    <t>Layanne Eleutério Santana Guimarães</t>
  </si>
  <si>
    <t>Leandro Ribeiro Reis</t>
  </si>
  <si>
    <t>Neil Medeiros</t>
  </si>
  <si>
    <t>Luna Fontana Formigari</t>
  </si>
  <si>
    <t>Priscilla Andressa de Sousa Silva</t>
  </si>
  <si>
    <t>Joana D'arc Mesquita Araujo</t>
  </si>
  <si>
    <t>Wallerya Leandra dos Santos</t>
  </si>
  <si>
    <t>Kaio César Florencio de Souza</t>
  </si>
  <si>
    <t>Maria Júlia Bezerra Batista Neiva</t>
  </si>
  <si>
    <t xml:space="preserve">Alana Marques Alves Duarte </t>
  </si>
  <si>
    <t xml:space="preserve">Gustavo Moreira Neris </t>
  </si>
  <si>
    <t>Diretoria de Inteligência Estratégica e Novos Negócios - DIEN</t>
  </si>
  <si>
    <t>Paolo Gessini</t>
  </si>
  <si>
    <t>UNB</t>
  </si>
  <si>
    <t>DIEN</t>
  </si>
  <si>
    <t>Aline Bessa Veloso</t>
  </si>
  <si>
    <t>CDT</t>
  </si>
  <si>
    <t>Leila Maria Garcia Fonseca</t>
  </si>
  <si>
    <t>CEN</t>
  </si>
  <si>
    <t>Danilo Sakay</t>
  </si>
  <si>
    <t>Aslei Andrade da Silva</t>
  </si>
  <si>
    <t>Jaime Augusto da Silva</t>
  </si>
  <si>
    <t>Alex Pereira da Cunha Borges</t>
  </si>
  <si>
    <t>CLC</t>
  </si>
  <si>
    <t>Gabriel Frazão Silva</t>
  </si>
  <si>
    <t>Luis Gustavo de Andrade Rodrigues</t>
  </si>
  <si>
    <t>Everton Nunes Leite</t>
  </si>
  <si>
    <t>Maria Clara Fontes e Silva</t>
  </si>
  <si>
    <t>Claudio Roberto Vieira</t>
  </si>
  <si>
    <t>Giovanni Figueira</t>
  </si>
  <si>
    <t xml:space="preserve">Maria Claudia Loureiro Gaspar </t>
  </si>
  <si>
    <t>Eduardo Ferreira Dourado</t>
  </si>
  <si>
    <t>Quéren Hapuque pereira Torres</t>
  </si>
  <si>
    <t>Heitor de Mattos Oliveira Lima</t>
  </si>
  <si>
    <t>Ana Caroline Souza Batista</t>
  </si>
  <si>
    <t>Rodriggo Barbosa da Silva</t>
  </si>
  <si>
    <t>Requisitados</t>
  </si>
  <si>
    <t>Felipe Pontes Guimarães</t>
  </si>
  <si>
    <t>Requisitado</t>
  </si>
  <si>
    <t>REQUISITADO</t>
  </si>
  <si>
    <t>Amélia Naomi Onohara</t>
  </si>
  <si>
    <t>Michele Cristina Silva Melo</t>
  </si>
  <si>
    <t>Patrícia Barcellos Pereira</t>
  </si>
  <si>
    <t>Thaís de Araújo Pedrosa</t>
  </si>
  <si>
    <t>Lúcia Helena Michels Freitas</t>
  </si>
  <si>
    <t>Cristiane Kazuko Torisu</t>
  </si>
  <si>
    <t>Renata Corrêa Ribeiro</t>
  </si>
  <si>
    <t>Ana Carolina Fuck Fullana</t>
  </si>
  <si>
    <t>Cedidos</t>
  </si>
  <si>
    <t>Cristiano Augusto Trein</t>
  </si>
  <si>
    <t>Cedido</t>
  </si>
  <si>
    <t>Cedido (a)</t>
  </si>
  <si>
    <t>CEDIDO</t>
  </si>
  <si>
    <t>Fabiany Maria Made e Vellasco</t>
  </si>
  <si>
    <t>Henrique Fernandes Nascimento</t>
  </si>
  <si>
    <t>José Sérgio Marques dos Santos</t>
  </si>
  <si>
    <t>Renata Silva de Oliveira</t>
  </si>
  <si>
    <t>Carolina Pereira Pedroso</t>
  </si>
  <si>
    <t>Movimentados</t>
  </si>
  <si>
    <t>Sigla Dir</t>
  </si>
  <si>
    <t>Lis Maria Fonseca Castro Barros</t>
  </si>
  <si>
    <t>MOVIMENTADO</t>
  </si>
  <si>
    <t>Nádia Bandeira Sacenco Kornijezuk</t>
  </si>
  <si>
    <t>Jean Carlos Borges Brito</t>
  </si>
  <si>
    <t>Gabriel Salles Maria de Macedo Rego</t>
  </si>
  <si>
    <t xml:space="preserve">Cristiano Elias Cardoso </t>
  </si>
  <si>
    <t>Ademir Luiz Xavier Junior</t>
  </si>
  <si>
    <t>Licença para Trato de Assuntos Particulares</t>
  </si>
  <si>
    <t>Danusa Pegoraro Szimanski</t>
  </si>
  <si>
    <t>Licença LTAP</t>
  </si>
  <si>
    <t xml:space="preserve">Licença para Participação em Curso de Formação </t>
  </si>
  <si>
    <t xml:space="preserve">Ualison Aguiar da Ponte Frota </t>
  </si>
  <si>
    <t>UNIDADE</t>
  </si>
  <si>
    <t>SICLA</t>
  </si>
  <si>
    <t>QUANTIDADE</t>
  </si>
  <si>
    <t>Diretoria e Governança do Setor Espacial - DGSE</t>
  </si>
  <si>
    <t>Diretoria de Novos Negócios - DIEN</t>
  </si>
  <si>
    <t>TOTAL</t>
  </si>
  <si>
    <t>EFETIVOS (AS) EM EXERCÍCIO EM OUTRO ÓRGÃO</t>
  </si>
  <si>
    <t>Servidores</t>
  </si>
  <si>
    <t>Processo</t>
  </si>
  <si>
    <t>01350.001012/2023-49</t>
  </si>
  <si>
    <t>01350.000826/2023-66</t>
  </si>
  <si>
    <t>01350.000602/2023-54</t>
  </si>
  <si>
    <t>01350.000466/2023-01</t>
  </si>
  <si>
    <t>Cristiano Elias Cardoso</t>
  </si>
  <si>
    <t>01350.000752/2023-68</t>
  </si>
  <si>
    <t>01350.000843/2023-01</t>
  </si>
  <si>
    <t>01350.000862/2023-20</t>
  </si>
  <si>
    <t>01350.000818/2023-10</t>
  </si>
  <si>
    <t>01350.001578/2020-28 01350.000248/2021-04 01350.000054/2023-62</t>
  </si>
  <si>
    <t>01350.000683/2023-92</t>
  </si>
  <si>
    <t>01350.001025/2019-31
01350.001402/2019-32
01350.000224/2019-22
01350.001025/2019-31
01350.002633/2019-63
01350.001010/2024-31</t>
  </si>
  <si>
    <t>01350.000711/2023-71</t>
  </si>
  <si>
    <t>01350.001150/2023-28</t>
  </si>
  <si>
    <t>01350.001353/2023-14</t>
  </si>
  <si>
    <t>01350.000136/2024-98</t>
  </si>
  <si>
    <t>Sílvia Maria Barros</t>
  </si>
  <si>
    <t>Movimentado</t>
  </si>
  <si>
    <t>01350.000420/2021-11</t>
  </si>
  <si>
    <t>01350.000741/2023-88</t>
  </si>
  <si>
    <t>01350.000016/2024-91</t>
  </si>
  <si>
    <t>SERVIDORES EFETIVOS E S/VÍNCULO NA SEDE DA AEB</t>
  </si>
  <si>
    <t>André Luis Barreto Paes</t>
  </si>
  <si>
    <t>Andreza Barros Oliveira</t>
  </si>
  <si>
    <t>Cristiano Queiroz Vilanova</t>
  </si>
  <si>
    <t>Gabriel Figueiró de Oliveira</t>
  </si>
  <si>
    <t>Geralda do Carmo de Oliveira</t>
  </si>
  <si>
    <t>Josival Lúcio de Sousa</t>
  </si>
  <si>
    <t>Kaio da Silva Pontes</t>
  </si>
  <si>
    <t>Kamilla Soares Carvalho</t>
  </si>
  <si>
    <t>Marcos Vinícius Almeida Cruvinel</t>
  </si>
  <si>
    <t>Roberto Carlos Andrade</t>
  </si>
  <si>
    <t>Processos</t>
  </si>
  <si>
    <t>01350.001038/2020-44</t>
  </si>
  <si>
    <t>01350.000006/2023-74</t>
  </si>
  <si>
    <t>Licença Capacitação</t>
  </si>
  <si>
    <t>01350.000772/2023-39</t>
  </si>
  <si>
    <t>01350.001111/2024-10</t>
  </si>
  <si>
    <t>Cargo</t>
  </si>
  <si>
    <t>Ocupado</t>
  </si>
  <si>
    <t>Vago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</si>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</sst>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>
    <font>
      <sz val="11"/>
      <name val="Arial"/>
      <family val="1"/>
    </font>
    <font>
      <b/>
      <sz val="11"/>
      <color rgb="FF000000"/>
      <name val="Arial"/>
      <family val="1"/>
    </font>
    <font>
      <b/>
      <sz val="14"/>
      <color rgb="FF037F4C"/>
      <name val="Arial"/>
      <family val="1"/>
    </font>
    <font>
      <b/>
      <sz val="14"/>
      <color rgb="FF579BFC"/>
      <name val="Arial"/>
      <family val="1"/>
    </font>
    <font>
      <b/>
      <sz val="14"/>
      <color rgb="FF9CD326"/>
      <name val="Arial"/>
      <family val="1"/>
    </font>
    <font>
      <b/>
      <sz val="14"/>
      <color rgb="FF0086C0"/>
      <name val="Arial"/>
      <family val="1"/>
    </font>
    <font>
      <b/>
      <sz val="14"/>
      <color rgb="FFBB3354"/>
      <name val="Arial"/>
      <family val="1"/>
    </font>
    <font>
      <b/>
      <sz val="14"/>
      <color rgb="FF00C875"/>
      <name val="Arial"/>
      <family val="1"/>
    </font>
    <font>
      <b/>
      <sz val="14"/>
      <color rgb="FFFF5AC4"/>
      <name val="Arial"/>
      <family val="1"/>
    </font>
    <font>
      <b/>
      <sz val="14"/>
      <color rgb="FFFFCB00"/>
      <name val="Arial"/>
      <family val="1"/>
    </font>
    <font>
      <b/>
      <sz val="14"/>
      <color rgb="FFFF158A"/>
      <name val="Arial"/>
      <family val="1"/>
    </font>
    <font>
      <b/>
      <sz val="14"/>
      <color rgb="FF66CCFF"/>
      <name val="Arial"/>
      <family val="1"/>
    </font>
    <font>
      <b/>
      <sz val="14"/>
      <color rgb="FFFF642E"/>
      <name val="Arial"/>
      <family val="1"/>
    </font>
    <font>
      <b/>
      <sz val="14"/>
      <color rgb="FFA25DDC"/>
      <name val="Arial"/>
      <family val="1"/>
    </font>
    <font>
      <b/>
      <sz val="14"/>
      <color rgb="FFCAB641"/>
      <name val="Arial"/>
      <family val="1"/>
    </font>
    <font>
      <b/>
      <sz val="14"/>
      <color rgb="FF7F5347"/>
      <name val="Arial"/>
      <family val="1"/>
    </font>
    <font>
      <b/>
      <sz val="14"/>
      <color rgb="FFE2445C"/>
      <name val="Arial"/>
      <family val="1"/>
    </font>
    <font>
      <b/>
      <sz val="14"/>
      <color rgb="FF784BD1"/>
      <name val="Arial"/>
      <family val="1"/>
    </font>
    <font>
      <b/>
      <sz val="11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sz val="14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20"/>
      <color theme="0"/>
      <name val="Abadi"/>
      <family val="2"/>
    </font>
    <font>
      <sz val="11"/>
      <color theme="0"/>
      <name val="Arial"/>
      <family val="1"/>
    </font>
    <font>
      <b/>
      <sz val="14"/>
      <color theme="0" tint="-0.499984740745262"/>
      <name val="Arial"/>
      <family val="2"/>
    </font>
    <font>
      <b/>
      <sz val="14"/>
      <color rgb="FF660033"/>
      <name val="Arial"/>
      <family val="2"/>
    </font>
    <font>
      <sz val="11"/>
      <name val="Arial"/>
    </font>
    <font>
      <sz val="11"/>
      <color rgb="FF000000"/>
      <name val="Arial"/>
      <charset val="1"/>
    </font>
  </fonts>
  <fills count="37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72A9B"/>
        <bgColor indexed="64"/>
      </patternFill>
    </fill>
    <fill>
      <patternFill patternType="solid">
        <fgColor rgb="FFA5D5ED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967D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FF"/>
        <bgColor indexed="64"/>
      </patternFill>
    </fill>
    <fill>
      <patternFill patternType="solid">
        <fgColor rgb="FFE1F4FF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EFF9FF"/>
        <bgColor indexed="64"/>
      </patternFill>
    </fill>
    <fill>
      <patternFill patternType="solid">
        <fgColor rgb="FFFDEEE7"/>
        <bgColor indexed="64"/>
      </patternFill>
    </fill>
    <fill>
      <patternFill patternType="solid">
        <fgColor rgb="FFE1E1FF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E2C4A6"/>
        <bgColor indexed="64"/>
      </patternFill>
    </fill>
    <fill>
      <patternFill patternType="solid">
        <fgColor rgb="FFFFCDD7"/>
        <bgColor indexed="64"/>
      </patternFill>
    </fill>
    <fill>
      <patternFill patternType="solid">
        <fgColor rgb="FFFFA7D3"/>
        <bgColor indexed="64"/>
      </patternFill>
    </fill>
    <fill>
      <patternFill patternType="solid">
        <fgColor rgb="FFFFEDB9"/>
        <bgColor indexed="64"/>
      </patternFill>
    </fill>
    <fill>
      <patternFill patternType="solid">
        <fgColor rgb="FFF9E7F7"/>
        <bgColor indexed="64"/>
      </patternFill>
    </fill>
    <fill>
      <patternFill patternType="solid">
        <fgColor rgb="FFE1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0" fillId="0" borderId="1" xfId="0" applyBorder="1"/>
    <xf numFmtId="0" fontId="21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left" vertical="center"/>
    </xf>
    <xf numFmtId="0" fontId="21" fillId="6" borderId="1" xfId="0" applyFont="1" applyFill="1" applyBorder="1" applyAlignment="1">
      <alignment vertical="center"/>
    </xf>
    <xf numFmtId="0" fontId="21" fillId="6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/>
    <xf numFmtId="0" fontId="21" fillId="7" borderId="1" xfId="0" applyFont="1" applyFill="1" applyBorder="1" applyAlignment="1">
      <alignment vertical="center" wrapText="1"/>
    </xf>
    <xf numFmtId="0" fontId="25" fillId="8" borderId="2" xfId="0" applyFont="1" applyFill="1" applyBorder="1" applyAlignment="1">
      <alignment horizontal="center" vertical="center"/>
    </xf>
    <xf numFmtId="0" fontId="25" fillId="8" borderId="4" xfId="0" applyFont="1" applyFill="1" applyBorder="1" applyAlignment="1">
      <alignment horizontal="center" vertical="center"/>
    </xf>
    <xf numFmtId="0" fontId="26" fillId="9" borderId="3" xfId="0" applyFont="1" applyFill="1" applyBorder="1" applyAlignment="1">
      <alignment vertical="center"/>
    </xf>
    <xf numFmtId="0" fontId="26" fillId="9" borderId="5" xfId="0" applyFont="1" applyFill="1" applyBorder="1" applyAlignment="1">
      <alignment horizontal="center" vertical="center"/>
    </xf>
    <xf numFmtId="0" fontId="26" fillId="10" borderId="3" xfId="0" applyFont="1" applyFill="1" applyBorder="1" applyAlignment="1">
      <alignment vertical="center"/>
    </xf>
    <xf numFmtId="0" fontId="26" fillId="10" borderId="5" xfId="0" applyFont="1" applyFill="1" applyBorder="1" applyAlignment="1">
      <alignment horizontal="center" vertical="center"/>
    </xf>
    <xf numFmtId="0" fontId="19" fillId="0" borderId="3" xfId="0" applyFont="1" applyBorder="1" applyAlignment="1">
      <alignment vertical="center"/>
    </xf>
    <xf numFmtId="0" fontId="19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horizontal="right" vertical="center"/>
    </xf>
    <xf numFmtId="0" fontId="18" fillId="0" borderId="5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28" fillId="11" borderId="0" xfId="0" applyFont="1" applyFill="1"/>
    <xf numFmtId="0" fontId="26" fillId="9" borderId="5" xfId="0" applyFont="1" applyFill="1" applyBorder="1" applyAlignment="1">
      <alignment vertical="center"/>
    </xf>
    <xf numFmtId="0" fontId="26" fillId="10" borderId="5" xfId="0" applyFont="1" applyFill="1" applyBorder="1" applyAlignment="1">
      <alignment vertical="center"/>
    </xf>
    <xf numFmtId="0" fontId="26" fillId="0" borderId="5" xfId="0" applyFont="1" applyBorder="1" applyAlignment="1">
      <alignment vertical="center"/>
    </xf>
    <xf numFmtId="0" fontId="21" fillId="7" borderId="1" xfId="0" applyFont="1" applyFill="1" applyBorder="1" applyAlignment="1">
      <alignment wrapText="1"/>
    </xf>
    <xf numFmtId="0" fontId="21" fillId="11" borderId="0" xfId="0" applyFont="1" applyFill="1"/>
    <xf numFmtId="0" fontId="0" fillId="11" borderId="0" xfId="0" applyFill="1"/>
    <xf numFmtId="0" fontId="2" fillId="12" borderId="1" xfId="0" applyFont="1" applyFill="1" applyBorder="1" applyAlignment="1">
      <alignment vertical="center"/>
    </xf>
    <xf numFmtId="0" fontId="1" fillId="14" borderId="1" xfId="0" applyFont="1" applyFill="1" applyBorder="1" applyAlignment="1">
      <alignment horizontal="left" vertical="center"/>
    </xf>
    <xf numFmtId="0" fontId="18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vertical="center"/>
    </xf>
    <xf numFmtId="0" fontId="4" fillId="16" borderId="1" xfId="0" applyFont="1" applyFill="1" applyBorder="1" applyAlignment="1">
      <alignment vertical="center"/>
    </xf>
    <xf numFmtId="0" fontId="5" fillId="17" borderId="1" xfId="0" applyFont="1" applyFill="1" applyBorder="1" applyAlignment="1">
      <alignment vertical="center"/>
    </xf>
    <xf numFmtId="0" fontId="6" fillId="18" borderId="1" xfId="0" applyFont="1" applyFill="1" applyBorder="1" applyAlignment="1">
      <alignment vertical="center"/>
    </xf>
    <xf numFmtId="0" fontId="7" fillId="19" borderId="1" xfId="0" applyFont="1" applyFill="1" applyBorder="1" applyAlignment="1">
      <alignment vertical="center"/>
    </xf>
    <xf numFmtId="0" fontId="8" fillId="20" borderId="1" xfId="0" applyFont="1" applyFill="1" applyBorder="1" applyAlignment="1">
      <alignment vertical="center"/>
    </xf>
    <xf numFmtId="0" fontId="9" fillId="21" borderId="1" xfId="0" applyFont="1" applyFill="1" applyBorder="1" applyAlignment="1">
      <alignment vertical="center"/>
    </xf>
    <xf numFmtId="0" fontId="10" fillId="22" borderId="1" xfId="0" applyFont="1" applyFill="1" applyBorder="1" applyAlignment="1">
      <alignment vertical="center"/>
    </xf>
    <xf numFmtId="0" fontId="5" fillId="23" borderId="1" xfId="0" applyFont="1" applyFill="1" applyBorder="1" applyAlignment="1">
      <alignment vertical="center"/>
    </xf>
    <xf numFmtId="0" fontId="11" fillId="25" borderId="1" xfId="0" applyFont="1" applyFill="1" applyBorder="1" applyAlignment="1">
      <alignment vertical="center"/>
    </xf>
    <xf numFmtId="0" fontId="12" fillId="26" borderId="1" xfId="0" applyFont="1" applyFill="1" applyBorder="1" applyAlignment="1">
      <alignment vertical="center"/>
    </xf>
    <xf numFmtId="0" fontId="13" fillId="27" borderId="1" xfId="0" applyFont="1" applyFill="1" applyBorder="1" applyAlignment="1">
      <alignment vertical="center"/>
    </xf>
    <xf numFmtId="0" fontId="14" fillId="28" borderId="1" xfId="0" applyFont="1" applyFill="1" applyBorder="1" applyAlignment="1">
      <alignment vertical="center"/>
    </xf>
    <xf numFmtId="0" fontId="15" fillId="29" borderId="1" xfId="0" applyFont="1" applyFill="1" applyBorder="1" applyAlignment="1">
      <alignment vertical="center"/>
    </xf>
    <xf numFmtId="0" fontId="16" fillId="30" borderId="1" xfId="0" applyFont="1" applyFill="1" applyBorder="1" applyAlignment="1">
      <alignment vertical="center"/>
    </xf>
    <xf numFmtId="0" fontId="30" fillId="31" borderId="1" xfId="0" applyFont="1" applyFill="1" applyBorder="1" applyAlignment="1">
      <alignment vertical="center"/>
    </xf>
    <xf numFmtId="0" fontId="17" fillId="33" borderId="1" xfId="0" applyFont="1" applyFill="1" applyBorder="1" applyAlignment="1">
      <alignment vertical="center"/>
    </xf>
    <xf numFmtId="0" fontId="18" fillId="14" borderId="9" xfId="0" applyFont="1" applyFill="1" applyBorder="1" applyAlignment="1">
      <alignment horizontal="center" vertical="center"/>
    </xf>
    <xf numFmtId="0" fontId="21" fillId="0" borderId="10" xfId="0" applyFont="1" applyBorder="1"/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7" fillId="24" borderId="1" xfId="0" applyFont="1" applyFill="1" applyBorder="1" applyAlignment="1">
      <alignment vertical="center"/>
    </xf>
    <xf numFmtId="0" fontId="14" fillId="32" borderId="1" xfId="0" applyFont="1" applyFill="1" applyBorder="1" applyAlignment="1">
      <alignment vertical="center"/>
    </xf>
    <xf numFmtId="0" fontId="3" fillId="34" borderId="1" xfId="0" applyFont="1" applyFill="1" applyBorder="1" applyAlignment="1">
      <alignment vertical="center"/>
    </xf>
    <xf numFmtId="0" fontId="21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8" fillId="14" borderId="16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1" fillId="0" borderId="8" xfId="0" applyFont="1" applyBorder="1"/>
    <xf numFmtId="0" fontId="21" fillId="0" borderId="8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3" borderId="16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3" borderId="9" xfId="0" applyFont="1" applyFill="1" applyBorder="1" applyAlignment="1">
      <alignment horizontal="center" vertical="center"/>
    </xf>
    <xf numFmtId="0" fontId="21" fillId="11" borderId="15" xfId="0" applyFont="1" applyFill="1" applyBorder="1"/>
    <xf numFmtId="0" fontId="21" fillId="0" borderId="15" xfId="0" applyFont="1" applyBorder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31" fillId="0" borderId="1" xfId="0" applyFont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0" fontId="31" fillId="3" borderId="14" xfId="0" applyFont="1" applyFill="1" applyBorder="1" applyAlignment="1">
      <alignment horizontal="center" vertical="center"/>
    </xf>
    <xf numFmtId="0" fontId="31" fillId="11" borderId="0" xfId="0" applyFont="1" applyFill="1"/>
    <xf numFmtId="0" fontId="31" fillId="0" borderId="9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1" fillId="0" borderId="16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" xfId="0" applyFont="1" applyBorder="1"/>
    <xf numFmtId="0" fontId="31" fillId="0" borderId="8" xfId="0" applyFont="1" applyBorder="1" applyAlignment="1">
      <alignment horizontal="center"/>
    </xf>
    <xf numFmtId="0" fontId="31" fillId="35" borderId="8" xfId="0" applyFont="1" applyFill="1" applyBorder="1" applyAlignment="1">
      <alignment horizontal="center"/>
    </xf>
    <xf numFmtId="0" fontId="31" fillId="36" borderId="0" xfId="0" applyFont="1" applyFill="1"/>
    <xf numFmtId="0" fontId="31" fillId="3" borderId="10" xfId="0" applyFont="1" applyFill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31" fillId="0" borderId="19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11" borderId="9" xfId="0" applyFont="1" applyFill="1" applyBorder="1"/>
    <xf numFmtId="0" fontId="21" fillId="11" borderId="17" xfId="0" applyFont="1" applyFill="1" applyBorder="1"/>
    <xf numFmtId="0" fontId="0" fillId="11" borderId="9" xfId="0" applyFill="1" applyBorder="1"/>
    <xf numFmtId="0" fontId="0" fillId="11" borderId="15" xfId="0" applyFill="1" applyBorder="1"/>
    <xf numFmtId="0" fontId="0" fillId="0" borderId="9" xfId="0" applyBorder="1" applyAlignment="1">
      <alignment horizontal="left" vertical="center"/>
    </xf>
    <xf numFmtId="0" fontId="21" fillId="0" borderId="22" xfId="0" applyFont="1" applyBorder="1" applyAlignment="1">
      <alignment horizontal="center" vertical="center"/>
    </xf>
    <xf numFmtId="0" fontId="32" fillId="0" borderId="0" xfId="0" applyFont="1"/>
    <xf numFmtId="0" fontId="31" fillId="0" borderId="23" xfId="0" applyFont="1" applyBorder="1" applyAlignment="1">
      <alignment horizontal="center" vertical="center"/>
    </xf>
    <xf numFmtId="0" fontId="21" fillId="34" borderId="7" xfId="0" applyFont="1" applyFill="1" applyBorder="1" applyAlignment="1">
      <alignment horizontal="center"/>
    </xf>
    <xf numFmtId="0" fontId="21" fillId="34" borderId="8" xfId="0" applyFont="1" applyFill="1" applyBorder="1" applyAlignment="1">
      <alignment horizontal="center"/>
    </xf>
    <xf numFmtId="0" fontId="21" fillId="12" borderId="7" xfId="0" applyFont="1" applyFill="1" applyBorder="1" applyAlignment="1">
      <alignment horizontal="center"/>
    </xf>
    <xf numFmtId="0" fontId="21" fillId="12" borderId="8" xfId="0" applyFont="1" applyFill="1" applyBorder="1" applyAlignment="1">
      <alignment horizontal="center"/>
    </xf>
    <xf numFmtId="0" fontId="21" fillId="15" borderId="7" xfId="0" applyFont="1" applyFill="1" applyBorder="1" applyAlignment="1">
      <alignment horizontal="center"/>
    </xf>
    <xf numFmtId="0" fontId="21" fillId="15" borderId="8" xfId="0" applyFont="1" applyFill="1" applyBorder="1" applyAlignment="1">
      <alignment horizontal="center"/>
    </xf>
    <xf numFmtId="0" fontId="21" fillId="16" borderId="7" xfId="0" applyFont="1" applyFill="1" applyBorder="1" applyAlignment="1">
      <alignment horizontal="center"/>
    </xf>
    <xf numFmtId="0" fontId="21" fillId="16" borderId="8" xfId="0" applyFont="1" applyFill="1" applyBorder="1" applyAlignment="1">
      <alignment horizontal="center"/>
    </xf>
    <xf numFmtId="0" fontId="29" fillId="13" borderId="12" xfId="0" applyFont="1" applyFill="1" applyBorder="1" applyAlignment="1">
      <alignment horizontal="left" vertical="center"/>
    </xf>
    <xf numFmtId="0" fontId="29" fillId="13" borderId="0" xfId="0" applyFont="1" applyFill="1" applyAlignment="1">
      <alignment horizontal="left" vertical="center"/>
    </xf>
    <xf numFmtId="0" fontId="29" fillId="13" borderId="1" xfId="0" applyFont="1" applyFill="1" applyBorder="1" applyAlignment="1">
      <alignment horizontal="left" vertical="center"/>
    </xf>
    <xf numFmtId="0" fontId="21" fillId="17" borderId="7" xfId="0" applyFont="1" applyFill="1" applyBorder="1" applyAlignment="1">
      <alignment horizontal="center"/>
    </xf>
    <xf numFmtId="0" fontId="21" fillId="17" borderId="8" xfId="0" applyFont="1" applyFill="1" applyBorder="1" applyAlignment="1">
      <alignment horizontal="center"/>
    </xf>
    <xf numFmtId="0" fontId="21" fillId="18" borderId="7" xfId="0" applyFont="1" applyFill="1" applyBorder="1" applyAlignment="1">
      <alignment horizontal="center"/>
    </xf>
    <xf numFmtId="0" fontId="21" fillId="18" borderId="8" xfId="0" applyFont="1" applyFill="1" applyBorder="1" applyAlignment="1">
      <alignment horizontal="center"/>
    </xf>
    <xf numFmtId="0" fontId="21" fillId="19" borderId="7" xfId="0" applyFont="1" applyFill="1" applyBorder="1" applyAlignment="1">
      <alignment horizontal="center"/>
    </xf>
    <xf numFmtId="0" fontId="21" fillId="19" borderId="8" xfId="0" applyFont="1" applyFill="1" applyBorder="1" applyAlignment="1">
      <alignment horizontal="center"/>
    </xf>
    <xf numFmtId="0" fontId="21" fillId="20" borderId="6" xfId="0" applyFont="1" applyFill="1" applyBorder="1" applyAlignment="1">
      <alignment horizontal="center"/>
    </xf>
    <xf numFmtId="0" fontId="21" fillId="20" borderId="13" xfId="0" applyFont="1" applyFill="1" applyBorder="1" applyAlignment="1">
      <alignment horizontal="center"/>
    </xf>
    <xf numFmtId="0" fontId="21" fillId="21" borderId="6" xfId="0" applyFont="1" applyFill="1" applyBorder="1" applyAlignment="1">
      <alignment horizontal="center"/>
    </xf>
    <xf numFmtId="0" fontId="21" fillId="21" borderId="13" xfId="0" applyFont="1" applyFill="1" applyBorder="1" applyAlignment="1">
      <alignment horizontal="center"/>
    </xf>
    <xf numFmtId="0" fontId="21" fillId="22" borderId="6" xfId="0" applyFont="1" applyFill="1" applyBorder="1" applyAlignment="1">
      <alignment horizontal="center"/>
    </xf>
    <xf numFmtId="0" fontId="21" fillId="22" borderId="13" xfId="0" applyFont="1" applyFill="1" applyBorder="1" applyAlignment="1">
      <alignment horizontal="center"/>
    </xf>
    <xf numFmtId="0" fontId="21" fillId="23" borderId="6" xfId="0" applyFont="1" applyFill="1" applyBorder="1" applyAlignment="1">
      <alignment horizontal="center"/>
    </xf>
    <xf numFmtId="0" fontId="21" fillId="23" borderId="13" xfId="0" applyFont="1" applyFill="1" applyBorder="1" applyAlignment="1">
      <alignment horizontal="center"/>
    </xf>
    <xf numFmtId="0" fontId="21" fillId="24" borderId="6" xfId="0" applyFont="1" applyFill="1" applyBorder="1" applyAlignment="1">
      <alignment horizontal="center"/>
    </xf>
    <xf numFmtId="0" fontId="21" fillId="24" borderId="13" xfId="0" applyFont="1" applyFill="1" applyBorder="1" applyAlignment="1">
      <alignment horizontal="center"/>
    </xf>
    <xf numFmtId="0" fontId="21" fillId="25" borderId="6" xfId="0" applyFont="1" applyFill="1" applyBorder="1" applyAlignment="1">
      <alignment horizontal="center"/>
    </xf>
    <xf numFmtId="0" fontId="21" fillId="25" borderId="13" xfId="0" applyFont="1" applyFill="1" applyBorder="1" applyAlignment="1">
      <alignment horizontal="center"/>
    </xf>
    <xf numFmtId="0" fontId="21" fillId="26" borderId="6" xfId="0" applyFont="1" applyFill="1" applyBorder="1" applyAlignment="1">
      <alignment horizontal="center"/>
    </xf>
    <xf numFmtId="0" fontId="21" fillId="26" borderId="13" xfId="0" applyFont="1" applyFill="1" applyBorder="1" applyAlignment="1">
      <alignment horizontal="center"/>
    </xf>
    <xf numFmtId="0" fontId="21" fillId="31" borderId="7" xfId="0" applyFont="1" applyFill="1" applyBorder="1" applyAlignment="1">
      <alignment horizontal="center"/>
    </xf>
    <xf numFmtId="0" fontId="21" fillId="31" borderId="8" xfId="0" applyFont="1" applyFill="1" applyBorder="1" applyAlignment="1">
      <alignment horizontal="center"/>
    </xf>
    <xf numFmtId="0" fontId="21" fillId="32" borderId="7" xfId="0" applyFont="1" applyFill="1" applyBorder="1" applyAlignment="1">
      <alignment horizontal="center"/>
    </xf>
    <xf numFmtId="0" fontId="21" fillId="32" borderId="8" xfId="0" applyFont="1" applyFill="1" applyBorder="1" applyAlignment="1">
      <alignment horizontal="center"/>
    </xf>
    <xf numFmtId="0" fontId="21" fillId="33" borderId="7" xfId="0" applyFont="1" applyFill="1" applyBorder="1" applyAlignment="1">
      <alignment horizontal="center"/>
    </xf>
    <xf numFmtId="0" fontId="21" fillId="33" borderId="8" xfId="0" applyFont="1" applyFill="1" applyBorder="1" applyAlignment="1">
      <alignment horizontal="center"/>
    </xf>
    <xf numFmtId="0" fontId="21" fillId="27" borderId="6" xfId="0" applyFont="1" applyFill="1" applyBorder="1" applyAlignment="1">
      <alignment horizontal="center"/>
    </xf>
    <xf numFmtId="0" fontId="21" fillId="27" borderId="13" xfId="0" applyFont="1" applyFill="1" applyBorder="1" applyAlignment="1">
      <alignment horizontal="center"/>
    </xf>
    <xf numFmtId="0" fontId="21" fillId="28" borderId="6" xfId="0" applyFont="1" applyFill="1" applyBorder="1" applyAlignment="1">
      <alignment horizontal="center"/>
    </xf>
    <xf numFmtId="0" fontId="21" fillId="28" borderId="13" xfId="0" applyFont="1" applyFill="1" applyBorder="1" applyAlignment="1">
      <alignment horizontal="center"/>
    </xf>
    <xf numFmtId="0" fontId="21" fillId="29" borderId="6" xfId="0" applyFont="1" applyFill="1" applyBorder="1" applyAlignment="1">
      <alignment horizontal="center"/>
    </xf>
    <xf numFmtId="0" fontId="21" fillId="29" borderId="13" xfId="0" applyFont="1" applyFill="1" applyBorder="1" applyAlignment="1">
      <alignment horizontal="center"/>
    </xf>
    <xf numFmtId="0" fontId="21" fillId="30" borderId="7" xfId="0" applyFont="1" applyFill="1" applyBorder="1" applyAlignment="1">
      <alignment horizontal="center"/>
    </xf>
    <xf numFmtId="0" fontId="21" fillId="30" borderId="8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1FFFF"/>
      <color rgb="FFF9E7F7"/>
      <color rgb="FFFFEDB9"/>
      <color rgb="FFFFA7D3"/>
      <color rgb="FF660033"/>
      <color rgb="FFFFE7FF"/>
      <color rgb="FFFFCDD7"/>
      <color rgb="FFE2C4A6"/>
      <color rgb="FFFFFFDD"/>
      <color rgb="FFE1E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D5" totalsRowShown="0">
  <autoFilter ref="A1:D5"/>
  <tableColumns count="4">
    <tableColumn id="1" name="Cargo"/>
    <tableColumn id="2" name="Ocupado"/>
    <tableColumn id="3" name="Vago"/>
    <tableColumn id="4" name="Tot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9"/>
  <sheetViews>
    <sheetView tabSelected="1" showOutlineSymbols="0" showWhiteSpace="0" topLeftCell="A201" zoomScaleNormal="100" workbookViewId="0">
      <pane xSplit="1" topLeftCell="B1" activePane="topRight" state="frozen"/>
      <selection pane="topRight" activeCell="I275" sqref="I275"/>
    </sheetView>
  </sheetViews>
  <sheetFormatPr defaultRowHeight="14.25"/>
  <cols>
    <col min="1" max="1" width="86.125" style="38" bestFit="1" customWidth="1"/>
    <col min="2" max="2" width="36.875" style="37" bestFit="1" customWidth="1"/>
    <col min="3" max="3" width="14.25" style="37" bestFit="1" customWidth="1"/>
    <col min="4" max="4" width="14.875" style="37" bestFit="1" customWidth="1"/>
    <col min="5" max="5" width="14.125" style="37" bestFit="1" customWidth="1"/>
    <col min="6" max="7" width="9" style="37"/>
    <col min="8" max="16384" width="9" style="38"/>
  </cols>
  <sheetData>
    <row r="1" spans="1:7" ht="20.100000000000001" customHeight="1">
      <c r="A1" s="39" t="s">
        <v>0</v>
      </c>
      <c r="B1" s="119"/>
      <c r="C1" s="119"/>
      <c r="D1" s="119"/>
      <c r="E1" s="120"/>
    </row>
    <row r="2" spans="1:7" ht="20.100000000000001" customHeight="1">
      <c r="A2" s="40" t="s">
        <v>1</v>
      </c>
      <c r="B2" s="41" t="s">
        <v>3</v>
      </c>
      <c r="C2" s="41" t="s">
        <v>4</v>
      </c>
      <c r="D2" s="41" t="s">
        <v>5</v>
      </c>
      <c r="E2" s="59" t="s">
        <v>6</v>
      </c>
    </row>
    <row r="3" spans="1:7" s="86" customFormat="1" ht="20.100000000000001" customHeight="1">
      <c r="A3" s="82" t="s">
        <v>7</v>
      </c>
      <c r="B3" s="84" t="s">
        <v>9</v>
      </c>
      <c r="C3" s="84" t="s">
        <v>10</v>
      </c>
      <c r="D3" s="84" t="s">
        <v>10</v>
      </c>
      <c r="E3" s="83">
        <v>4190</v>
      </c>
    </row>
    <row r="4" spans="1:7" s="86" customFormat="1" ht="20.100000000000001" customHeight="1">
      <c r="A4" s="82" t="s">
        <v>11</v>
      </c>
      <c r="B4" s="84" t="s">
        <v>12</v>
      </c>
      <c r="C4" s="84" t="s">
        <v>10</v>
      </c>
      <c r="D4" s="84" t="s">
        <v>10</v>
      </c>
      <c r="E4" s="83">
        <v>4040</v>
      </c>
    </row>
    <row r="5" spans="1:7" s="86" customFormat="1" ht="20.100000000000001" customHeight="1">
      <c r="A5" s="82" t="s">
        <v>14</v>
      </c>
      <c r="B5" s="84" t="s">
        <v>12</v>
      </c>
      <c r="C5" s="84" t="s">
        <v>10</v>
      </c>
      <c r="D5" s="84" t="s">
        <v>10</v>
      </c>
      <c r="E5" s="83">
        <v>4100</v>
      </c>
    </row>
    <row r="6" spans="1:7" ht="20.100000000000001" customHeight="1">
      <c r="A6" s="1" t="s">
        <v>13</v>
      </c>
      <c r="B6" s="4" t="s">
        <v>13</v>
      </c>
      <c r="C6" s="4" t="s">
        <v>13</v>
      </c>
      <c r="D6" s="4" t="s">
        <v>13</v>
      </c>
      <c r="E6" s="60"/>
    </row>
    <row r="7" spans="1:7" s="127" customFormat="1" ht="20.100000000000001" customHeight="1">
      <c r="A7" s="125" t="s">
        <v>15</v>
      </c>
      <c r="B7" s="126"/>
      <c r="C7" s="126"/>
      <c r="D7" s="126"/>
      <c r="E7" s="126"/>
      <c r="F7" s="126"/>
      <c r="G7" s="126"/>
    </row>
    <row r="8" spans="1:7" ht="20.100000000000001" customHeight="1">
      <c r="A8" s="40" t="s">
        <v>1</v>
      </c>
      <c r="B8" s="41" t="s">
        <v>3</v>
      </c>
      <c r="C8" s="41" t="s">
        <v>4</v>
      </c>
      <c r="D8" s="41" t="s">
        <v>5</v>
      </c>
      <c r="E8" s="59" t="s">
        <v>6</v>
      </c>
    </row>
    <row r="9" spans="1:7" s="86" customFormat="1" ht="20.100000000000001" customHeight="1">
      <c r="A9" s="82" t="s">
        <v>16</v>
      </c>
      <c r="B9" s="84" t="s">
        <v>18</v>
      </c>
      <c r="C9" s="84" t="s">
        <v>19</v>
      </c>
      <c r="D9" s="84" t="s">
        <v>19</v>
      </c>
      <c r="E9" s="83">
        <v>4331</v>
      </c>
    </row>
    <row r="10" spans="1:7" s="86" customFormat="1" ht="20.100000000000001" customHeight="1">
      <c r="A10" s="82" t="s">
        <v>20</v>
      </c>
      <c r="B10" s="84" t="s">
        <v>22</v>
      </c>
      <c r="C10" s="84" t="s">
        <v>19</v>
      </c>
      <c r="D10" s="84" t="s">
        <v>19</v>
      </c>
      <c r="E10" s="99"/>
    </row>
    <row r="11" spans="1:7" s="86" customFormat="1" ht="20.100000000000001" customHeight="1">
      <c r="A11" s="82" t="s">
        <v>23</v>
      </c>
      <c r="B11" s="84" t="s">
        <v>24</v>
      </c>
      <c r="C11" s="84" t="s">
        <v>19</v>
      </c>
      <c r="D11" s="84" t="s">
        <v>19</v>
      </c>
      <c r="E11" s="99">
        <v>4332</v>
      </c>
    </row>
    <row r="12" spans="1:7" s="86" customFormat="1" ht="20.100000000000001" customHeight="1">
      <c r="A12" s="82" t="s">
        <v>25</v>
      </c>
      <c r="B12" s="84" t="s">
        <v>24</v>
      </c>
      <c r="C12" s="84" t="s">
        <v>19</v>
      </c>
      <c r="D12" s="84" t="s">
        <v>19</v>
      </c>
      <c r="E12" s="83">
        <v>4333</v>
      </c>
    </row>
    <row r="13" spans="1:7" s="86" customFormat="1" ht="20.100000000000001" customHeight="1">
      <c r="A13" s="82" t="s">
        <v>26</v>
      </c>
      <c r="B13" s="84" t="s">
        <v>24</v>
      </c>
      <c r="C13" s="84" t="s">
        <v>19</v>
      </c>
      <c r="D13" s="84" t="s">
        <v>19</v>
      </c>
      <c r="E13" s="84"/>
    </row>
    <row r="14" spans="1:7" s="86" customFormat="1" ht="20.100000000000001" customHeight="1">
      <c r="A14" s="82" t="s">
        <v>27</v>
      </c>
      <c r="B14" s="84" t="s">
        <v>28</v>
      </c>
      <c r="C14" s="84" t="s">
        <v>19</v>
      </c>
      <c r="D14" s="84" t="s">
        <v>19</v>
      </c>
      <c r="E14" s="84"/>
    </row>
    <row r="15" spans="1:7" s="86" customFormat="1" ht="20.100000000000001" customHeight="1">
      <c r="A15" s="82" t="s">
        <v>29</v>
      </c>
      <c r="B15" s="84" t="s">
        <v>30</v>
      </c>
      <c r="C15" s="84" t="s">
        <v>19</v>
      </c>
      <c r="D15" s="84" t="s">
        <v>19</v>
      </c>
      <c r="E15" s="84"/>
    </row>
    <row r="16" spans="1:7" s="86" customFormat="1" ht="20.100000000000001" customHeight="1">
      <c r="A16" s="82" t="s">
        <v>31</v>
      </c>
      <c r="B16" s="84" t="s">
        <v>32</v>
      </c>
      <c r="C16" s="84" t="s">
        <v>19</v>
      </c>
      <c r="D16" s="84" t="s">
        <v>19</v>
      </c>
      <c r="E16" s="98"/>
    </row>
    <row r="17" spans="1:5" ht="20.100000000000001" customHeight="1">
      <c r="A17" s="1" t="s">
        <v>13</v>
      </c>
      <c r="B17" s="4" t="s">
        <v>13</v>
      </c>
      <c r="C17" s="4" t="s">
        <v>13</v>
      </c>
      <c r="D17" s="4" t="s">
        <v>13</v>
      </c>
      <c r="E17" s="60"/>
    </row>
    <row r="18" spans="1:5" ht="20.100000000000001" customHeight="1">
      <c r="A18" s="42" t="s">
        <v>33</v>
      </c>
      <c r="B18" s="121"/>
      <c r="C18" s="121"/>
      <c r="D18" s="121"/>
      <c r="E18" s="122"/>
    </row>
    <row r="19" spans="1:5" ht="20.100000000000001" customHeight="1">
      <c r="A19" s="40" t="s">
        <v>1</v>
      </c>
      <c r="B19" s="41" t="s">
        <v>3</v>
      </c>
      <c r="C19" s="41" t="s">
        <v>4</v>
      </c>
      <c r="D19" s="41" t="s">
        <v>5</v>
      </c>
      <c r="E19" s="59" t="s">
        <v>6</v>
      </c>
    </row>
    <row r="20" spans="1:5" s="86" customFormat="1" ht="20.100000000000001" customHeight="1">
      <c r="A20" s="82" t="s">
        <v>34</v>
      </c>
      <c r="B20" s="84" t="s">
        <v>18</v>
      </c>
      <c r="C20" s="84" t="s">
        <v>35</v>
      </c>
      <c r="D20" s="84" t="s">
        <v>35</v>
      </c>
      <c r="E20" s="83">
        <v>4351</v>
      </c>
    </row>
    <row r="21" spans="1:5" s="86" customFormat="1" ht="20.100000000000001" customHeight="1">
      <c r="A21" s="82" t="s">
        <v>36</v>
      </c>
      <c r="B21" s="84" t="s">
        <v>22</v>
      </c>
      <c r="C21" s="84" t="s">
        <v>35</v>
      </c>
      <c r="D21" s="84" t="s">
        <v>35</v>
      </c>
      <c r="E21" s="99"/>
    </row>
    <row r="22" spans="1:5" s="86" customFormat="1" ht="20.100000000000001" customHeight="1">
      <c r="A22" s="82" t="s">
        <v>37</v>
      </c>
      <c r="B22" s="84" t="s">
        <v>24</v>
      </c>
      <c r="C22" s="84" t="s">
        <v>35</v>
      </c>
      <c r="D22" s="84" t="s">
        <v>35</v>
      </c>
      <c r="E22" s="99"/>
    </row>
    <row r="23" spans="1:5" s="86" customFormat="1" ht="20.100000000000001" customHeight="1">
      <c r="A23" s="82" t="s">
        <v>38</v>
      </c>
      <c r="B23" s="84" t="s">
        <v>24</v>
      </c>
      <c r="C23" s="84" t="s">
        <v>35</v>
      </c>
      <c r="D23" s="84" t="s">
        <v>35</v>
      </c>
      <c r="E23" s="99">
        <v>4353</v>
      </c>
    </row>
    <row r="24" spans="1:5" s="86" customFormat="1" ht="20.100000000000001" customHeight="1">
      <c r="A24" s="82" t="s">
        <v>39</v>
      </c>
      <c r="B24" s="84" t="s">
        <v>24</v>
      </c>
      <c r="C24" s="84" t="s">
        <v>35</v>
      </c>
      <c r="D24" s="84" t="s">
        <v>35</v>
      </c>
      <c r="E24" s="83">
        <v>4352</v>
      </c>
    </row>
    <row r="25" spans="1:5" s="86" customFormat="1" ht="20.100000000000001" customHeight="1">
      <c r="A25" s="82" t="s">
        <v>40</v>
      </c>
      <c r="B25" s="84" t="s">
        <v>24</v>
      </c>
      <c r="C25" s="84" t="s">
        <v>35</v>
      </c>
      <c r="D25" s="84" t="s">
        <v>35</v>
      </c>
      <c r="E25" s="99">
        <v>4356</v>
      </c>
    </row>
    <row r="26" spans="1:5" s="86" customFormat="1" ht="20.100000000000001" customHeight="1">
      <c r="A26" s="82" t="s">
        <v>41</v>
      </c>
      <c r="B26" s="84" t="s">
        <v>24</v>
      </c>
      <c r="C26" s="84" t="s">
        <v>35</v>
      </c>
      <c r="D26" s="84" t="s">
        <v>35</v>
      </c>
      <c r="E26" s="83">
        <v>4355</v>
      </c>
    </row>
    <row r="27" spans="1:5" ht="20.100000000000001" customHeight="1">
      <c r="A27" s="1" t="s">
        <v>13</v>
      </c>
      <c r="B27" s="4" t="s">
        <v>13</v>
      </c>
      <c r="C27" s="4" t="s">
        <v>13</v>
      </c>
      <c r="D27" s="4" t="s">
        <v>13</v>
      </c>
      <c r="E27" s="60"/>
    </row>
    <row r="28" spans="1:5" ht="20.100000000000001" customHeight="1">
      <c r="A28" s="43" t="s">
        <v>42</v>
      </c>
      <c r="B28" s="123"/>
      <c r="C28" s="123"/>
      <c r="D28" s="123"/>
      <c r="E28" s="124"/>
    </row>
    <row r="29" spans="1:5" ht="20.100000000000001" customHeight="1">
      <c r="A29" s="40" t="s">
        <v>1</v>
      </c>
      <c r="B29" s="41" t="s">
        <v>3</v>
      </c>
      <c r="C29" s="41" t="s">
        <v>4</v>
      </c>
      <c r="D29" s="41" t="s">
        <v>5</v>
      </c>
      <c r="E29" s="59" t="s">
        <v>6</v>
      </c>
    </row>
    <row r="30" spans="1:5" s="86" customFormat="1" ht="20.100000000000001" customHeight="1">
      <c r="A30" s="82" t="s">
        <v>43</v>
      </c>
      <c r="B30" s="84" t="s">
        <v>18</v>
      </c>
      <c r="C30" s="84" t="s">
        <v>44</v>
      </c>
      <c r="D30" s="84" t="s">
        <v>44</v>
      </c>
      <c r="E30" s="83">
        <v>4311</v>
      </c>
    </row>
    <row r="31" spans="1:5" s="86" customFormat="1" ht="20.100000000000001" customHeight="1">
      <c r="A31" s="82" t="s">
        <v>45</v>
      </c>
      <c r="B31" s="84" t="s">
        <v>46</v>
      </c>
      <c r="C31" s="84" t="s">
        <v>44</v>
      </c>
      <c r="D31" s="84" t="s">
        <v>44</v>
      </c>
      <c r="E31" s="99">
        <v>4312</v>
      </c>
    </row>
    <row r="32" spans="1:5" s="86" customFormat="1" ht="20.100000000000001" customHeight="1">
      <c r="A32" s="82" t="s">
        <v>47</v>
      </c>
      <c r="B32" s="84" t="s">
        <v>22</v>
      </c>
      <c r="C32" s="84" t="s">
        <v>44</v>
      </c>
      <c r="D32" s="84" t="s">
        <v>44</v>
      </c>
      <c r="E32" s="83"/>
    </row>
    <row r="33" spans="1:5" s="86" customFormat="1" ht="20.100000000000001" customHeight="1">
      <c r="A33" s="82" t="s">
        <v>48</v>
      </c>
      <c r="B33" s="84" t="s">
        <v>22</v>
      </c>
      <c r="C33" s="84" t="s">
        <v>44</v>
      </c>
      <c r="D33" s="84" t="s">
        <v>44</v>
      </c>
      <c r="E33" s="83"/>
    </row>
    <row r="34" spans="1:5" s="86" customFormat="1" ht="20.100000000000001" customHeight="1">
      <c r="A34" s="82" t="s">
        <v>49</v>
      </c>
      <c r="B34" s="84" t="s">
        <v>24</v>
      </c>
      <c r="C34" s="84" t="s">
        <v>44</v>
      </c>
      <c r="D34" s="84" t="s">
        <v>44</v>
      </c>
      <c r="E34" s="83">
        <v>4314</v>
      </c>
    </row>
    <row r="35" spans="1:5" ht="20.100000000000001" customHeight="1">
      <c r="A35" s="1"/>
      <c r="B35" s="4" t="s">
        <v>13</v>
      </c>
      <c r="C35" s="4" t="s">
        <v>13</v>
      </c>
      <c r="D35" s="4" t="s">
        <v>13</v>
      </c>
      <c r="E35" s="60"/>
    </row>
    <row r="36" spans="1:5" ht="20.100000000000001" customHeight="1">
      <c r="A36" s="44" t="s">
        <v>50</v>
      </c>
      <c r="B36" s="128"/>
      <c r="C36" s="128"/>
      <c r="D36" s="128"/>
      <c r="E36" s="129"/>
    </row>
    <row r="37" spans="1:5" ht="20.100000000000001" customHeight="1">
      <c r="A37" s="40" t="s">
        <v>1</v>
      </c>
      <c r="B37" s="41" t="s">
        <v>3</v>
      </c>
      <c r="C37" s="41" t="s">
        <v>4</v>
      </c>
      <c r="D37" s="41" t="s">
        <v>5</v>
      </c>
      <c r="E37" s="59" t="s">
        <v>6</v>
      </c>
    </row>
    <row r="38" spans="1:5" s="86" customFormat="1" ht="20.100000000000001" customHeight="1">
      <c r="A38" s="82" t="s">
        <v>51</v>
      </c>
      <c r="B38" s="84" t="s">
        <v>52</v>
      </c>
      <c r="C38" s="84" t="s">
        <v>53</v>
      </c>
      <c r="D38" s="84" t="s">
        <v>53</v>
      </c>
      <c r="E38" s="83">
        <v>4183</v>
      </c>
    </row>
    <row r="39" spans="1:5" s="86" customFormat="1" ht="20.100000000000001" customHeight="1">
      <c r="A39" s="82" t="s">
        <v>54</v>
      </c>
      <c r="B39" s="84" t="s">
        <v>55</v>
      </c>
      <c r="C39" s="84" t="s">
        <v>53</v>
      </c>
      <c r="D39" s="84" t="s">
        <v>53</v>
      </c>
      <c r="E39" s="99">
        <v>4145</v>
      </c>
    </row>
    <row r="40" spans="1:5" s="86" customFormat="1" ht="20.100000000000001" customHeight="1">
      <c r="A40" s="82" t="s">
        <v>56</v>
      </c>
      <c r="B40" s="84" t="s">
        <v>58</v>
      </c>
      <c r="C40" s="84" t="s">
        <v>53</v>
      </c>
      <c r="D40" s="84" t="s">
        <v>53</v>
      </c>
      <c r="E40" s="83">
        <v>4130</v>
      </c>
    </row>
    <row r="41" spans="1:5" s="86" customFormat="1" ht="20.100000000000001" customHeight="1">
      <c r="A41" s="82" t="s">
        <v>59</v>
      </c>
      <c r="B41" s="84" t="s">
        <v>58</v>
      </c>
      <c r="C41" s="84" t="s">
        <v>53</v>
      </c>
      <c r="D41" s="84" t="s">
        <v>53</v>
      </c>
      <c r="E41" s="99">
        <v>4099</v>
      </c>
    </row>
    <row r="42" spans="1:5" s="86" customFormat="1" ht="20.100000000000001" customHeight="1">
      <c r="A42" s="82" t="s">
        <v>60</v>
      </c>
      <c r="B42" s="84" t="s">
        <v>46</v>
      </c>
      <c r="C42" s="84" t="s">
        <v>53</v>
      </c>
      <c r="D42" s="84" t="s">
        <v>53</v>
      </c>
      <c r="E42" s="99">
        <v>4321</v>
      </c>
    </row>
    <row r="43" spans="1:5" s="86" customFormat="1" ht="20.100000000000001" customHeight="1">
      <c r="A43" s="82" t="s">
        <v>61</v>
      </c>
      <c r="B43" s="84" t="s">
        <v>46</v>
      </c>
      <c r="C43" s="84" t="s">
        <v>53</v>
      </c>
      <c r="D43" s="84" t="s">
        <v>53</v>
      </c>
      <c r="E43" s="99">
        <v>4320</v>
      </c>
    </row>
    <row r="44" spans="1:5" s="86" customFormat="1" ht="20.100000000000001" customHeight="1">
      <c r="A44" s="82" t="s">
        <v>62</v>
      </c>
      <c r="B44" s="84" t="s">
        <v>46</v>
      </c>
      <c r="C44" s="84" t="s">
        <v>53</v>
      </c>
      <c r="D44" s="84" t="s">
        <v>53</v>
      </c>
      <c r="E44" s="99">
        <v>4318</v>
      </c>
    </row>
    <row r="45" spans="1:5" s="86" customFormat="1" ht="20.100000000000001" customHeight="1">
      <c r="A45" s="82" t="s">
        <v>63</v>
      </c>
      <c r="B45" s="84" t="s">
        <v>22</v>
      </c>
      <c r="C45" s="84" t="s">
        <v>53</v>
      </c>
      <c r="D45" s="84" t="s">
        <v>53</v>
      </c>
      <c r="E45" s="99">
        <v>4095</v>
      </c>
    </row>
    <row r="46" spans="1:5" s="86" customFormat="1" ht="20.100000000000001" customHeight="1">
      <c r="A46" s="82" t="s">
        <v>64</v>
      </c>
      <c r="B46" s="84" t="s">
        <v>24</v>
      </c>
      <c r="C46" s="84" t="s">
        <v>53</v>
      </c>
      <c r="D46" s="84" t="s">
        <v>53</v>
      </c>
      <c r="E46" s="83">
        <v>4036</v>
      </c>
    </row>
    <row r="47" spans="1:5" s="86" customFormat="1" ht="20.100000000000001" customHeight="1">
      <c r="A47" s="82" t="s">
        <v>65</v>
      </c>
      <c r="B47" s="84" t="s">
        <v>24</v>
      </c>
      <c r="C47" s="84" t="s">
        <v>53</v>
      </c>
      <c r="D47" s="84" t="s">
        <v>53</v>
      </c>
      <c r="E47" s="99"/>
    </row>
    <row r="48" spans="1:5" ht="20.100000000000001" customHeight="1">
      <c r="A48" s="1" t="s">
        <v>13</v>
      </c>
      <c r="B48" s="4" t="s">
        <v>13</v>
      </c>
      <c r="C48" s="4" t="s">
        <v>13</v>
      </c>
      <c r="D48" s="4" t="s">
        <v>13</v>
      </c>
      <c r="E48" s="60"/>
    </row>
    <row r="49" spans="1:5" ht="20.100000000000001" customHeight="1">
      <c r="A49" s="45" t="s">
        <v>66</v>
      </c>
      <c r="B49" s="130"/>
      <c r="C49" s="130"/>
      <c r="D49" s="130"/>
      <c r="E49" s="131"/>
    </row>
    <row r="50" spans="1:5" ht="20.100000000000001" customHeight="1">
      <c r="A50" s="40" t="s">
        <v>1</v>
      </c>
      <c r="B50" s="41" t="s">
        <v>3</v>
      </c>
      <c r="C50" s="41" t="s">
        <v>4</v>
      </c>
      <c r="D50" s="41" t="s">
        <v>5</v>
      </c>
      <c r="E50" s="59" t="s">
        <v>6</v>
      </c>
    </row>
    <row r="51" spans="1:5" s="86" customFormat="1" ht="20.100000000000001" customHeight="1">
      <c r="A51" s="82" t="s">
        <v>67</v>
      </c>
      <c r="B51" s="84" t="s">
        <v>18</v>
      </c>
      <c r="C51" s="84" t="s">
        <v>53</v>
      </c>
      <c r="D51" s="84" t="s">
        <v>68</v>
      </c>
      <c r="E51" s="83">
        <v>4064</v>
      </c>
    </row>
    <row r="52" spans="1:5" s="86" customFormat="1" ht="20.100000000000001" customHeight="1">
      <c r="A52" s="82" t="s">
        <v>69</v>
      </c>
      <c r="B52" s="84" t="s">
        <v>24</v>
      </c>
      <c r="C52" s="84" t="s">
        <v>53</v>
      </c>
      <c r="D52" s="84" t="s">
        <v>68</v>
      </c>
      <c r="E52" s="99">
        <v>4078</v>
      </c>
    </row>
    <row r="53" spans="1:5" ht="20.100000000000001" customHeight="1">
      <c r="A53" s="1" t="s">
        <v>13</v>
      </c>
      <c r="B53" s="4" t="s">
        <v>13</v>
      </c>
      <c r="C53" s="4" t="s">
        <v>13</v>
      </c>
      <c r="D53" s="4" t="s">
        <v>13</v>
      </c>
      <c r="E53" s="4"/>
    </row>
    <row r="54" spans="1:5" ht="20.100000000000001" customHeight="1">
      <c r="A54" s="46" t="s">
        <v>70</v>
      </c>
      <c r="B54" s="132"/>
      <c r="C54" s="132"/>
      <c r="D54" s="132"/>
      <c r="E54" s="133"/>
    </row>
    <row r="55" spans="1:5" ht="20.100000000000001" customHeight="1">
      <c r="A55" s="40" t="s">
        <v>1</v>
      </c>
      <c r="B55" s="41" t="s">
        <v>3</v>
      </c>
      <c r="C55" s="41" t="s">
        <v>4</v>
      </c>
      <c r="D55" s="41" t="s">
        <v>5</v>
      </c>
      <c r="E55" s="59" t="s">
        <v>6</v>
      </c>
    </row>
    <row r="56" spans="1:5" s="86" customFormat="1" ht="20.100000000000001" customHeight="1">
      <c r="A56" s="82" t="s">
        <v>71</v>
      </c>
      <c r="B56" s="84" t="s">
        <v>72</v>
      </c>
      <c r="C56" s="84" t="s">
        <v>73</v>
      </c>
      <c r="D56" s="84" t="s">
        <v>73</v>
      </c>
      <c r="E56" s="83">
        <v>4189</v>
      </c>
    </row>
    <row r="57" spans="1:5" s="86" customFormat="1" ht="20.100000000000001" customHeight="1">
      <c r="A57" s="82" t="s">
        <v>74</v>
      </c>
      <c r="B57" s="84" t="s">
        <v>18</v>
      </c>
      <c r="C57" s="84" t="s">
        <v>73</v>
      </c>
      <c r="D57" s="84" t="s">
        <v>76</v>
      </c>
      <c r="E57" s="100">
        <v>4035</v>
      </c>
    </row>
    <row r="58" spans="1:5" s="86" customFormat="1" ht="20.100000000000001" customHeight="1">
      <c r="A58" s="82" t="s">
        <v>77</v>
      </c>
      <c r="B58" s="84" t="s">
        <v>78</v>
      </c>
      <c r="C58" s="84" t="s">
        <v>73</v>
      </c>
      <c r="D58" s="84" t="s">
        <v>79</v>
      </c>
      <c r="E58" s="88">
        <v>4021</v>
      </c>
    </row>
    <row r="59" spans="1:5" s="86" customFormat="1" ht="20.100000000000001" customHeight="1">
      <c r="A59" s="82" t="s">
        <v>80</v>
      </c>
      <c r="B59" s="84" t="s">
        <v>46</v>
      </c>
      <c r="C59" s="84" t="s">
        <v>73</v>
      </c>
      <c r="D59" s="84" t="s">
        <v>76</v>
      </c>
      <c r="E59" s="88">
        <v>4326</v>
      </c>
    </row>
    <row r="60" spans="1:5" s="86" customFormat="1" ht="20.100000000000001" customHeight="1">
      <c r="A60" s="82" t="s">
        <v>81</v>
      </c>
      <c r="B60" s="84" t="s">
        <v>46</v>
      </c>
      <c r="C60" s="84" t="s">
        <v>73</v>
      </c>
      <c r="D60" s="84" t="s">
        <v>79</v>
      </c>
      <c r="E60" s="88">
        <v>4325</v>
      </c>
    </row>
    <row r="61" spans="1:5" s="86" customFormat="1" ht="20.100000000000001" customHeight="1">
      <c r="A61" s="82" t="s">
        <v>82</v>
      </c>
      <c r="B61" s="84" t="s">
        <v>24</v>
      </c>
      <c r="C61" s="84" t="s">
        <v>73</v>
      </c>
      <c r="D61" s="84" t="s">
        <v>73</v>
      </c>
      <c r="E61" s="83">
        <v>4140</v>
      </c>
    </row>
    <row r="62" spans="1:5" s="86" customFormat="1" ht="20.100000000000001" customHeight="1">
      <c r="A62" s="82" t="s">
        <v>83</v>
      </c>
      <c r="B62" s="84" t="s">
        <v>24</v>
      </c>
      <c r="C62" s="84" t="s">
        <v>73</v>
      </c>
      <c r="D62" s="84" t="s">
        <v>76</v>
      </c>
      <c r="E62" s="83">
        <v>4024</v>
      </c>
    </row>
    <row r="63" spans="1:5" s="86" customFormat="1" ht="20.100000000000001" customHeight="1">
      <c r="A63" s="82" t="s">
        <v>84</v>
      </c>
      <c r="B63" s="84" t="s">
        <v>24</v>
      </c>
      <c r="C63" s="84" t="s">
        <v>73</v>
      </c>
      <c r="D63" s="84" t="s">
        <v>76</v>
      </c>
      <c r="E63" s="83">
        <v>4227</v>
      </c>
    </row>
    <row r="64" spans="1:5" s="86" customFormat="1" ht="20.100000000000001" customHeight="1">
      <c r="A64" s="82" t="s">
        <v>85</v>
      </c>
      <c r="B64" s="84" t="s">
        <v>24</v>
      </c>
      <c r="C64" s="84" t="s">
        <v>73</v>
      </c>
      <c r="D64" s="84" t="s">
        <v>76</v>
      </c>
      <c r="E64" s="83">
        <v>4102</v>
      </c>
    </row>
    <row r="65" spans="1:5" s="86" customFormat="1" ht="20.100000000000001" customHeight="1">
      <c r="A65" s="82" t="s">
        <v>86</v>
      </c>
      <c r="B65" s="84" t="s">
        <v>24</v>
      </c>
      <c r="C65" s="84" t="s">
        <v>73</v>
      </c>
      <c r="D65" s="84" t="s">
        <v>79</v>
      </c>
      <c r="E65" s="83">
        <v>4037</v>
      </c>
    </row>
    <row r="66" spans="1:5" s="86" customFormat="1" ht="20.100000000000001" customHeight="1">
      <c r="A66" s="82" t="s">
        <v>87</v>
      </c>
      <c r="B66" s="84" t="s">
        <v>24</v>
      </c>
      <c r="C66" s="84" t="s">
        <v>73</v>
      </c>
      <c r="D66" s="84" t="s">
        <v>76</v>
      </c>
      <c r="E66" s="87">
        <v>4046</v>
      </c>
    </row>
    <row r="67" spans="1:5" s="86" customFormat="1" ht="20.100000000000001" customHeight="1">
      <c r="A67" s="82" t="s">
        <v>88</v>
      </c>
      <c r="B67" s="84" t="s">
        <v>24</v>
      </c>
      <c r="C67" s="84" t="s">
        <v>73</v>
      </c>
      <c r="D67" s="84" t="s">
        <v>76</v>
      </c>
      <c r="E67" s="87">
        <v>4156</v>
      </c>
    </row>
    <row r="68" spans="1:5" ht="20.100000000000001" customHeight="1">
      <c r="A68" s="1" t="s">
        <v>13</v>
      </c>
      <c r="B68" s="4" t="s">
        <v>13</v>
      </c>
      <c r="C68" s="4" t="s">
        <v>13</v>
      </c>
      <c r="D68" s="4" t="s">
        <v>13</v>
      </c>
      <c r="E68" s="4"/>
    </row>
    <row r="69" spans="1:5" ht="20.100000000000001" customHeight="1">
      <c r="A69" s="47" t="s">
        <v>89</v>
      </c>
      <c r="B69" s="134"/>
      <c r="C69" s="134"/>
      <c r="D69" s="134"/>
      <c r="E69" s="135"/>
    </row>
    <row r="70" spans="1:5" ht="20.100000000000001" customHeight="1">
      <c r="A70" s="40" t="s">
        <v>1</v>
      </c>
      <c r="B70" s="41" t="s">
        <v>3</v>
      </c>
      <c r="C70" s="41" t="s">
        <v>4</v>
      </c>
      <c r="D70" s="41" t="s">
        <v>5</v>
      </c>
      <c r="E70" s="59" t="s">
        <v>6</v>
      </c>
    </row>
    <row r="71" spans="1:5" s="86" customFormat="1" ht="20.100000000000001" customHeight="1">
      <c r="A71" s="82" t="s">
        <v>90</v>
      </c>
      <c r="B71" s="84" t="s">
        <v>92</v>
      </c>
      <c r="C71" s="84" t="s">
        <v>93</v>
      </c>
      <c r="D71" s="84" t="s">
        <v>93</v>
      </c>
      <c r="E71" s="83">
        <v>4004</v>
      </c>
    </row>
    <row r="72" spans="1:5" s="86" customFormat="1" ht="20.100000000000001" customHeight="1">
      <c r="A72" s="82" t="s">
        <v>94</v>
      </c>
      <c r="B72" s="84" t="s">
        <v>78</v>
      </c>
      <c r="C72" s="84" t="s">
        <v>93</v>
      </c>
      <c r="D72" s="84" t="s">
        <v>93</v>
      </c>
      <c r="E72" s="83">
        <v>4170</v>
      </c>
    </row>
    <row r="73" spans="1:5" s="86" customFormat="1" ht="20.100000000000001" customHeight="1">
      <c r="A73" s="82" t="s">
        <v>95</v>
      </c>
      <c r="B73" s="84" t="s">
        <v>46</v>
      </c>
      <c r="C73" s="84" t="s">
        <v>93</v>
      </c>
      <c r="D73" s="84" t="s">
        <v>93</v>
      </c>
      <c r="E73" s="83"/>
    </row>
    <row r="74" spans="1:5" s="86" customFormat="1" ht="20.100000000000001" customHeight="1">
      <c r="A74" s="82" t="s">
        <v>96</v>
      </c>
      <c r="B74" s="84" t="s">
        <v>24</v>
      </c>
      <c r="C74" s="84" t="s">
        <v>93</v>
      </c>
      <c r="D74" s="84" t="s">
        <v>93</v>
      </c>
      <c r="E74" s="83">
        <v>4158</v>
      </c>
    </row>
    <row r="75" spans="1:5" ht="19.5" customHeight="1">
      <c r="A75" s="1"/>
      <c r="B75" s="4"/>
      <c r="C75" s="4"/>
      <c r="D75" s="4"/>
      <c r="E75" s="68"/>
    </row>
    <row r="76" spans="1:5" ht="20.100000000000001" customHeight="1">
      <c r="A76" s="48" t="s">
        <v>97</v>
      </c>
      <c r="B76" s="136"/>
      <c r="C76" s="136"/>
      <c r="D76" s="136"/>
      <c r="E76" s="137"/>
    </row>
    <row r="77" spans="1:5" ht="20.100000000000001" customHeight="1">
      <c r="A77" s="40" t="s">
        <v>1</v>
      </c>
      <c r="B77" s="41" t="s">
        <v>3</v>
      </c>
      <c r="C77" s="41" t="s">
        <v>4</v>
      </c>
      <c r="D77" s="41" t="s">
        <v>5</v>
      </c>
      <c r="E77" s="59" t="s">
        <v>6</v>
      </c>
    </row>
    <row r="78" spans="1:5" s="86" customFormat="1" ht="20.100000000000001" customHeight="1">
      <c r="A78" s="82" t="s">
        <v>98</v>
      </c>
      <c r="B78" s="84" t="s">
        <v>72</v>
      </c>
      <c r="C78" s="84" t="s">
        <v>99</v>
      </c>
      <c r="D78" s="84" t="s">
        <v>99</v>
      </c>
      <c r="E78" s="83">
        <v>4185</v>
      </c>
    </row>
    <row r="79" spans="1:5" s="86" customFormat="1" ht="20.100000000000001" customHeight="1">
      <c r="A79" s="82" t="s">
        <v>100</v>
      </c>
      <c r="B79" s="84" t="s">
        <v>46</v>
      </c>
      <c r="C79" s="84" t="s">
        <v>99</v>
      </c>
      <c r="D79" s="84" t="s">
        <v>99</v>
      </c>
      <c r="E79" s="83">
        <v>4074</v>
      </c>
    </row>
    <row r="80" spans="1:5" s="86" customFormat="1" ht="20.100000000000001" customHeight="1">
      <c r="A80" s="82" t="s">
        <v>101</v>
      </c>
      <c r="B80" s="84" t="s">
        <v>55</v>
      </c>
      <c r="C80" s="84" t="s">
        <v>99</v>
      </c>
      <c r="D80" s="84" t="s">
        <v>99</v>
      </c>
      <c r="E80" s="83">
        <v>4144</v>
      </c>
    </row>
    <row r="81" spans="1:5" s="86" customFormat="1" ht="20.100000000000001" customHeight="1">
      <c r="A81" s="82" t="s">
        <v>102</v>
      </c>
      <c r="B81" s="84" t="s">
        <v>24</v>
      </c>
      <c r="C81" s="84" t="s">
        <v>99</v>
      </c>
      <c r="D81" s="84" t="s">
        <v>99</v>
      </c>
      <c r="E81" s="83">
        <v>4222</v>
      </c>
    </row>
    <row r="82" spans="1:5" s="86" customFormat="1" ht="20.100000000000001" customHeight="1">
      <c r="A82" s="82" t="s">
        <v>103</v>
      </c>
      <c r="B82" s="84" t="s">
        <v>24</v>
      </c>
      <c r="C82" s="84" t="s">
        <v>99</v>
      </c>
      <c r="D82" s="84" t="s">
        <v>99</v>
      </c>
      <c r="E82" s="83">
        <v>4440</v>
      </c>
    </row>
    <row r="83" spans="1:5" s="86" customFormat="1" ht="20.100000000000001" customHeight="1">
      <c r="A83" s="82" t="s">
        <v>104</v>
      </c>
      <c r="B83" s="84" t="s">
        <v>32</v>
      </c>
      <c r="C83" s="84" t="s">
        <v>99</v>
      </c>
      <c r="D83" s="84" t="s">
        <v>99</v>
      </c>
      <c r="E83" s="83">
        <v>4146</v>
      </c>
    </row>
    <row r="84" spans="1:5" ht="20.100000000000001" customHeight="1">
      <c r="A84" s="1" t="s">
        <v>13</v>
      </c>
      <c r="B84" s="4" t="s">
        <v>13</v>
      </c>
      <c r="C84" s="4" t="s">
        <v>13</v>
      </c>
      <c r="D84" s="4" t="s">
        <v>13</v>
      </c>
      <c r="E84" s="68"/>
    </row>
    <row r="85" spans="1:5" ht="20.100000000000001" customHeight="1">
      <c r="A85" s="49" t="s">
        <v>105</v>
      </c>
      <c r="B85" s="138"/>
      <c r="C85" s="138"/>
      <c r="D85" s="138"/>
      <c r="E85" s="139"/>
    </row>
    <row r="86" spans="1:5" ht="20.100000000000001" customHeight="1">
      <c r="A86" s="40" t="s">
        <v>1</v>
      </c>
      <c r="B86" s="41" t="s">
        <v>3</v>
      </c>
      <c r="C86" s="41" t="s">
        <v>4</v>
      </c>
      <c r="D86" s="41" t="s">
        <v>5</v>
      </c>
      <c r="E86" s="59" t="s">
        <v>6</v>
      </c>
    </row>
    <row r="87" spans="1:5" s="86" customFormat="1" ht="20.100000000000001" customHeight="1">
      <c r="A87" s="82" t="s">
        <v>106</v>
      </c>
      <c r="B87" s="84" t="s">
        <v>108</v>
      </c>
      <c r="C87" s="84" t="s">
        <v>109</v>
      </c>
      <c r="D87" s="84" t="s">
        <v>109</v>
      </c>
      <c r="E87" s="83">
        <v>4187</v>
      </c>
    </row>
    <row r="88" spans="1:5" s="86" customFormat="1" ht="20.100000000000001" customHeight="1">
      <c r="A88" s="82" t="s">
        <v>110</v>
      </c>
      <c r="B88" s="84" t="s">
        <v>46</v>
      </c>
      <c r="C88" s="84" t="s">
        <v>109</v>
      </c>
      <c r="D88" s="84" t="s">
        <v>109</v>
      </c>
      <c r="E88" s="99"/>
    </row>
    <row r="89" spans="1:5" s="86" customFormat="1" ht="20.100000000000001" customHeight="1">
      <c r="A89" s="82" t="s">
        <v>111</v>
      </c>
      <c r="B89" s="84" t="s">
        <v>24</v>
      </c>
      <c r="C89" s="84" t="s">
        <v>109</v>
      </c>
      <c r="D89" s="84" t="s">
        <v>109</v>
      </c>
      <c r="E89" s="83">
        <v>4044</v>
      </c>
    </row>
    <row r="90" spans="1:5" ht="20.100000000000001" customHeight="1">
      <c r="A90" s="1" t="s">
        <v>13</v>
      </c>
      <c r="B90" s="4" t="s">
        <v>13</v>
      </c>
      <c r="C90" s="4" t="s">
        <v>13</v>
      </c>
      <c r="D90" s="4" t="s">
        <v>13</v>
      </c>
      <c r="E90" s="68"/>
    </row>
    <row r="91" spans="1:5" ht="20.100000000000001" customHeight="1">
      <c r="A91" s="50" t="s">
        <v>112</v>
      </c>
      <c r="B91" s="140"/>
      <c r="C91" s="140"/>
      <c r="D91" s="140"/>
      <c r="E91" s="141"/>
    </row>
    <row r="92" spans="1:5" ht="20.100000000000001" customHeight="1">
      <c r="A92" s="40" t="s">
        <v>1</v>
      </c>
      <c r="B92" s="41" t="s">
        <v>3</v>
      </c>
      <c r="C92" s="41" t="s">
        <v>4</v>
      </c>
      <c r="D92" s="41" t="s">
        <v>5</v>
      </c>
      <c r="E92" s="59" t="s">
        <v>6</v>
      </c>
    </row>
    <row r="93" spans="1:5" s="86" customFormat="1" ht="20.100000000000001" customHeight="1">
      <c r="A93" s="82" t="s">
        <v>113</v>
      </c>
      <c r="B93" s="84" t="s">
        <v>115</v>
      </c>
      <c r="C93" s="84" t="s">
        <v>116</v>
      </c>
      <c r="D93" s="84" t="s">
        <v>116</v>
      </c>
      <c r="E93" s="83">
        <v>4191</v>
      </c>
    </row>
    <row r="94" spans="1:5" s="86" customFormat="1" ht="20.100000000000001" customHeight="1">
      <c r="A94" s="82" t="s">
        <v>117</v>
      </c>
      <c r="B94" s="84" t="s">
        <v>46</v>
      </c>
      <c r="C94" s="84" t="s">
        <v>116</v>
      </c>
      <c r="D94" s="84" t="s">
        <v>116</v>
      </c>
      <c r="E94" s="83">
        <v>4107</v>
      </c>
    </row>
    <row r="95" spans="1:5" s="86" customFormat="1" ht="20.100000000000001" customHeight="1">
      <c r="A95" s="82" t="s">
        <v>118</v>
      </c>
      <c r="B95" s="84" t="s">
        <v>55</v>
      </c>
      <c r="C95" s="84" t="s">
        <v>116</v>
      </c>
      <c r="D95" s="84" t="s">
        <v>116</v>
      </c>
      <c r="E95" s="83">
        <v>4073</v>
      </c>
    </row>
    <row r="96" spans="1:5" s="86" customFormat="1" ht="20.100000000000001" customHeight="1">
      <c r="A96" s="82" t="s">
        <v>119</v>
      </c>
      <c r="B96" s="84" t="s">
        <v>120</v>
      </c>
      <c r="C96" s="84" t="s">
        <v>116</v>
      </c>
      <c r="D96" s="84" t="s">
        <v>116</v>
      </c>
      <c r="E96" s="83">
        <v>4068</v>
      </c>
    </row>
    <row r="97" spans="1:5" s="86" customFormat="1" ht="20.100000000000001" customHeight="1">
      <c r="A97" s="82" t="s">
        <v>121</v>
      </c>
      <c r="B97" s="84" t="s">
        <v>122</v>
      </c>
      <c r="C97" s="84" t="s">
        <v>116</v>
      </c>
      <c r="D97" s="84" t="s">
        <v>116</v>
      </c>
      <c r="E97" s="83">
        <v>4076</v>
      </c>
    </row>
    <row r="98" spans="1:5" s="86" customFormat="1" ht="20.100000000000001" customHeight="1">
      <c r="A98" s="82" t="s">
        <v>123</v>
      </c>
      <c r="B98" s="84" t="s">
        <v>24</v>
      </c>
      <c r="C98" s="84" t="s">
        <v>116</v>
      </c>
      <c r="D98" s="84" t="s">
        <v>116</v>
      </c>
      <c r="E98" s="83">
        <v>4042</v>
      </c>
    </row>
    <row r="99" spans="1:5" ht="20.100000000000001" customHeight="1">
      <c r="A99" s="1" t="s">
        <v>13</v>
      </c>
      <c r="B99" s="4" t="s">
        <v>13</v>
      </c>
      <c r="C99" s="4" t="s">
        <v>13</v>
      </c>
      <c r="D99" s="4" t="s">
        <v>13</v>
      </c>
      <c r="E99" s="68"/>
    </row>
    <row r="100" spans="1:5" ht="20.100000000000001" customHeight="1">
      <c r="A100" s="63" t="s">
        <v>124</v>
      </c>
      <c r="B100" s="142"/>
      <c r="C100" s="142"/>
      <c r="D100" s="142"/>
      <c r="E100" s="143"/>
    </row>
    <row r="101" spans="1:5" ht="20.100000000000001" customHeight="1">
      <c r="A101" s="40" t="s">
        <v>1</v>
      </c>
      <c r="B101" s="41" t="s">
        <v>3</v>
      </c>
      <c r="C101" s="41" t="s">
        <v>4</v>
      </c>
      <c r="D101" s="41" t="s">
        <v>5</v>
      </c>
      <c r="E101" s="70" t="s">
        <v>6</v>
      </c>
    </row>
    <row r="102" spans="1:5" s="86" customFormat="1" ht="20.100000000000001" customHeight="1">
      <c r="A102" s="82" t="s">
        <v>125</v>
      </c>
      <c r="B102" s="84" t="s">
        <v>18</v>
      </c>
      <c r="C102" s="84" t="s">
        <v>116</v>
      </c>
      <c r="D102" s="84" t="s">
        <v>126</v>
      </c>
      <c r="E102" s="88">
        <v>4029</v>
      </c>
    </row>
    <row r="103" spans="1:5" s="86" customFormat="1" ht="20.100000000000001" customHeight="1">
      <c r="A103" s="82" t="s">
        <v>127</v>
      </c>
      <c r="B103" s="84" t="s">
        <v>78</v>
      </c>
      <c r="C103" s="84" t="s">
        <v>116</v>
      </c>
      <c r="D103" s="84" t="s">
        <v>126</v>
      </c>
      <c r="E103" s="88">
        <v>4085</v>
      </c>
    </row>
    <row r="104" spans="1:5" s="86" customFormat="1" ht="20.100000000000001" customHeight="1">
      <c r="A104" s="82" t="s">
        <v>128</v>
      </c>
      <c r="B104" s="84" t="s">
        <v>57</v>
      </c>
      <c r="C104" s="84" t="s">
        <v>116</v>
      </c>
      <c r="D104" s="84" t="s">
        <v>126</v>
      </c>
      <c r="E104" s="88"/>
    </row>
    <row r="105" spans="1:5" s="86" customFormat="1" ht="20.100000000000001" customHeight="1">
      <c r="A105" s="82" t="s">
        <v>129</v>
      </c>
      <c r="B105" s="84" t="s">
        <v>78</v>
      </c>
      <c r="C105" s="84" t="s">
        <v>116</v>
      </c>
      <c r="D105" s="84" t="s">
        <v>126</v>
      </c>
      <c r="E105" s="88">
        <v>4061</v>
      </c>
    </row>
    <row r="106" spans="1:5" s="86" customFormat="1" ht="20.100000000000001" customHeight="1">
      <c r="A106" s="82" t="s">
        <v>131</v>
      </c>
      <c r="B106" s="84" t="s">
        <v>78</v>
      </c>
      <c r="C106" s="84" t="s">
        <v>116</v>
      </c>
      <c r="D106" s="84" t="s">
        <v>126</v>
      </c>
      <c r="E106" s="88">
        <v>4168</v>
      </c>
    </row>
    <row r="107" spans="1:5" s="86" customFormat="1" ht="20.100000000000001" customHeight="1">
      <c r="A107" s="82" t="s">
        <v>132</v>
      </c>
      <c r="B107" s="84" t="s">
        <v>58</v>
      </c>
      <c r="C107" s="84" t="s">
        <v>116</v>
      </c>
      <c r="D107" s="84" t="s">
        <v>126</v>
      </c>
      <c r="E107" s="88">
        <v>4023</v>
      </c>
    </row>
    <row r="108" spans="1:5" s="86" customFormat="1" ht="20.100000000000001" customHeight="1">
      <c r="A108" s="82" t="s">
        <v>133</v>
      </c>
      <c r="B108" s="84" t="s">
        <v>58</v>
      </c>
      <c r="C108" s="84" t="s">
        <v>116</v>
      </c>
      <c r="D108" s="84" t="s">
        <v>126</v>
      </c>
      <c r="E108" s="88">
        <v>4003</v>
      </c>
    </row>
    <row r="109" spans="1:5" s="86" customFormat="1" ht="20.100000000000001" customHeight="1">
      <c r="A109" s="82" t="s">
        <v>134</v>
      </c>
      <c r="B109" s="84" t="s">
        <v>24</v>
      </c>
      <c r="C109" s="84" t="s">
        <v>116</v>
      </c>
      <c r="D109" s="84" t="s">
        <v>126</v>
      </c>
      <c r="E109" s="88">
        <v>4030</v>
      </c>
    </row>
    <row r="110" spans="1:5" s="86" customFormat="1" ht="20.100000000000001" customHeight="1">
      <c r="A110" s="82" t="s">
        <v>135</v>
      </c>
      <c r="B110" s="84" t="s">
        <v>24</v>
      </c>
      <c r="C110" s="84" t="s">
        <v>116</v>
      </c>
      <c r="D110" s="84" t="s">
        <v>126</v>
      </c>
      <c r="E110" s="88">
        <v>4052</v>
      </c>
    </row>
    <row r="111" spans="1:5" s="86" customFormat="1" ht="20.100000000000001" customHeight="1">
      <c r="A111" s="82" t="s">
        <v>136</v>
      </c>
      <c r="B111" s="84" t="s">
        <v>24</v>
      </c>
      <c r="C111" s="84" t="s">
        <v>116</v>
      </c>
      <c r="D111" s="84" t="s">
        <v>126</v>
      </c>
      <c r="E111" s="88">
        <v>4090</v>
      </c>
    </row>
    <row r="112" spans="1:5" ht="20.100000000000001" customHeight="1">
      <c r="A112" s="1"/>
      <c r="B112" s="4"/>
      <c r="C112" s="4"/>
      <c r="D112" s="4"/>
      <c r="E112" s="69"/>
    </row>
    <row r="113" spans="1:5" ht="20.100000000000001" customHeight="1">
      <c r="A113" s="51" t="s">
        <v>137</v>
      </c>
      <c r="B113" s="144"/>
      <c r="C113" s="144"/>
      <c r="D113" s="144"/>
      <c r="E113" s="145"/>
    </row>
    <row r="114" spans="1:5" ht="20.100000000000001" customHeight="1">
      <c r="A114" s="40" t="s">
        <v>1</v>
      </c>
      <c r="B114" s="41" t="s">
        <v>3</v>
      </c>
      <c r="C114" s="41" t="s">
        <v>4</v>
      </c>
      <c r="D114" s="41" t="s">
        <v>5</v>
      </c>
      <c r="E114" s="70" t="s">
        <v>6</v>
      </c>
    </row>
    <row r="115" spans="1:5" s="86" customFormat="1" ht="20.100000000000001" customHeight="1">
      <c r="A115" s="82" t="s">
        <v>138</v>
      </c>
      <c r="B115" s="84" t="s">
        <v>18</v>
      </c>
      <c r="C115" s="84" t="s">
        <v>116</v>
      </c>
      <c r="D115" s="84" t="s">
        <v>139</v>
      </c>
      <c r="E115" s="88">
        <v>4038</v>
      </c>
    </row>
    <row r="116" spans="1:5" s="86" customFormat="1" ht="20.100000000000001" customHeight="1">
      <c r="A116" s="82" t="s">
        <v>140</v>
      </c>
      <c r="B116" s="84" t="s">
        <v>78</v>
      </c>
      <c r="C116" s="84" t="s">
        <v>116</v>
      </c>
      <c r="D116" s="84" t="s">
        <v>139</v>
      </c>
      <c r="E116" s="88">
        <v>4002</v>
      </c>
    </row>
    <row r="117" spans="1:5" s="86" customFormat="1" ht="20.100000000000001" customHeight="1">
      <c r="A117" s="82" t="s">
        <v>141</v>
      </c>
      <c r="B117" s="84" t="s">
        <v>78</v>
      </c>
      <c r="C117" s="84" t="s">
        <v>116</v>
      </c>
      <c r="D117" s="84" t="s">
        <v>139</v>
      </c>
      <c r="E117" s="88">
        <v>4020</v>
      </c>
    </row>
    <row r="118" spans="1:5" s="86" customFormat="1" ht="20.100000000000001" customHeight="1">
      <c r="A118" s="82" t="s">
        <v>143</v>
      </c>
      <c r="B118" s="84" t="s">
        <v>144</v>
      </c>
      <c r="C118" s="84" t="s">
        <v>116</v>
      </c>
      <c r="D118" s="84" t="s">
        <v>139</v>
      </c>
      <c r="E118" s="88">
        <v>4106</v>
      </c>
    </row>
    <row r="119" spans="1:5" s="86" customFormat="1" ht="20.100000000000001" customHeight="1">
      <c r="A119" s="82" t="s">
        <v>145</v>
      </c>
      <c r="B119" s="84" t="s">
        <v>144</v>
      </c>
      <c r="C119" s="84" t="s">
        <v>116</v>
      </c>
      <c r="D119" s="84" t="s">
        <v>139</v>
      </c>
      <c r="E119" s="89"/>
    </row>
    <row r="120" spans="1:5" s="86" customFormat="1" ht="20.100000000000001" customHeight="1">
      <c r="A120" s="82" t="s">
        <v>146</v>
      </c>
      <c r="B120" s="84" t="s">
        <v>22</v>
      </c>
      <c r="C120" s="84" t="s">
        <v>116</v>
      </c>
      <c r="D120" s="84" t="s">
        <v>139</v>
      </c>
      <c r="E120" s="89"/>
    </row>
    <row r="121" spans="1:5" s="86" customFormat="1" ht="20.100000000000001" customHeight="1">
      <c r="A121" s="82" t="s">
        <v>147</v>
      </c>
      <c r="B121" s="84" t="s">
        <v>24</v>
      </c>
      <c r="C121" s="84" t="s">
        <v>116</v>
      </c>
      <c r="D121" s="84" t="s">
        <v>139</v>
      </c>
      <c r="E121" s="88">
        <v>4171</v>
      </c>
    </row>
    <row r="122" spans="1:5" s="86" customFormat="1" ht="20.100000000000001" customHeight="1">
      <c r="A122" s="82" t="s">
        <v>148</v>
      </c>
      <c r="B122" s="84" t="s">
        <v>24</v>
      </c>
      <c r="C122" s="84" t="s">
        <v>116</v>
      </c>
      <c r="D122" s="84" t="s">
        <v>139</v>
      </c>
      <c r="E122" s="90"/>
    </row>
    <row r="123" spans="1:5" s="86" customFormat="1" ht="20.100000000000001" customHeight="1">
      <c r="A123" s="82" t="s">
        <v>149</v>
      </c>
      <c r="B123" s="84" t="s">
        <v>24</v>
      </c>
      <c r="C123" s="84" t="s">
        <v>116</v>
      </c>
      <c r="D123" s="84" t="s">
        <v>139</v>
      </c>
      <c r="E123" s="91">
        <v>4016</v>
      </c>
    </row>
    <row r="124" spans="1:5" s="86" customFormat="1" ht="20.100000000000001" customHeight="1">
      <c r="A124" s="82" t="s">
        <v>150</v>
      </c>
      <c r="B124" s="84" t="s">
        <v>24</v>
      </c>
      <c r="C124" s="84" t="s">
        <v>116</v>
      </c>
      <c r="D124" s="84" t="s">
        <v>139</v>
      </c>
      <c r="E124" s="88">
        <v>4120</v>
      </c>
    </row>
    <row r="125" spans="1:5" s="86" customFormat="1" ht="20.100000000000001" customHeight="1">
      <c r="A125" s="82" t="s">
        <v>151</v>
      </c>
      <c r="B125" s="84" t="s">
        <v>32</v>
      </c>
      <c r="C125" s="84" t="s">
        <v>116</v>
      </c>
      <c r="D125" s="84" t="s">
        <v>139</v>
      </c>
      <c r="E125" s="90">
        <v>4184</v>
      </c>
    </row>
    <row r="126" spans="1:5" s="86" customFormat="1" ht="20.100000000000001" customHeight="1">
      <c r="A126" s="82" t="s">
        <v>152</v>
      </c>
      <c r="B126" s="84" t="s">
        <v>32</v>
      </c>
      <c r="C126" s="84" t="s">
        <v>116</v>
      </c>
      <c r="D126" s="84" t="s">
        <v>139</v>
      </c>
      <c r="E126" s="90"/>
    </row>
    <row r="127" spans="1:5" ht="20.100000000000001" customHeight="1">
      <c r="A127" s="1" t="s">
        <v>13</v>
      </c>
      <c r="B127" s="4" t="s">
        <v>13</v>
      </c>
      <c r="C127" s="4" t="s">
        <v>13</v>
      </c>
      <c r="D127" s="4" t="s">
        <v>13</v>
      </c>
      <c r="E127" s="72"/>
    </row>
    <row r="128" spans="1:5" ht="20.100000000000001" customHeight="1">
      <c r="A128" s="52" t="s">
        <v>153</v>
      </c>
      <c r="B128" s="146"/>
      <c r="C128" s="146"/>
      <c r="D128" s="146"/>
      <c r="E128" s="147"/>
    </row>
    <row r="129" spans="1:5" ht="20.100000000000001" customHeight="1">
      <c r="A129" s="40" t="s">
        <v>1</v>
      </c>
      <c r="B129" s="41" t="s">
        <v>3</v>
      </c>
      <c r="C129" s="41" t="s">
        <v>4</v>
      </c>
      <c r="D129" s="41" t="s">
        <v>5</v>
      </c>
      <c r="E129" s="70" t="s">
        <v>6</v>
      </c>
    </row>
    <row r="130" spans="1:5" ht="20.100000000000001" customHeight="1">
      <c r="A130" s="6" t="s">
        <v>154</v>
      </c>
      <c r="B130" s="2" t="s">
        <v>18</v>
      </c>
      <c r="C130" s="2" t="s">
        <v>116</v>
      </c>
      <c r="D130" s="2" t="s">
        <v>155</v>
      </c>
      <c r="E130" s="69">
        <v>4012</v>
      </c>
    </row>
    <row r="131" spans="1:5" ht="20.100000000000001" customHeight="1">
      <c r="A131" s="6" t="s">
        <v>156</v>
      </c>
      <c r="B131" s="2" t="s">
        <v>78</v>
      </c>
      <c r="C131" s="2" t="s">
        <v>116</v>
      </c>
      <c r="D131" s="2" t="s">
        <v>155</v>
      </c>
      <c r="E131" s="69">
        <v>4112</v>
      </c>
    </row>
    <row r="132" spans="1:5" ht="20.100000000000001" customHeight="1">
      <c r="A132" s="6" t="s">
        <v>157</v>
      </c>
      <c r="B132" s="2" t="s">
        <v>78</v>
      </c>
      <c r="C132" s="2" t="s">
        <v>116</v>
      </c>
      <c r="D132" s="2" t="s">
        <v>155</v>
      </c>
      <c r="E132" s="69">
        <v>4146</v>
      </c>
    </row>
    <row r="133" spans="1:5" ht="20.100000000000001" customHeight="1">
      <c r="A133" s="6" t="s">
        <v>158</v>
      </c>
      <c r="B133" s="2" t="s">
        <v>78</v>
      </c>
      <c r="C133" s="2" t="s">
        <v>116</v>
      </c>
      <c r="D133" s="2" t="s">
        <v>155</v>
      </c>
      <c r="E133" s="69">
        <v>4058</v>
      </c>
    </row>
    <row r="134" spans="1:5" ht="20.100000000000001" customHeight="1">
      <c r="A134" s="6" t="s">
        <v>159</v>
      </c>
      <c r="B134" s="2" t="s">
        <v>57</v>
      </c>
      <c r="C134" s="2" t="s">
        <v>116</v>
      </c>
      <c r="D134" s="2" t="s">
        <v>155</v>
      </c>
      <c r="E134" s="69">
        <v>4181</v>
      </c>
    </row>
    <row r="135" spans="1:5" ht="20.100000000000001" customHeight="1">
      <c r="A135" s="6" t="s">
        <v>160</v>
      </c>
      <c r="B135" s="2" t="s">
        <v>58</v>
      </c>
      <c r="C135" s="2" t="s">
        <v>116</v>
      </c>
      <c r="D135" s="2" t="s">
        <v>155</v>
      </c>
      <c r="E135" s="69">
        <v>4330</v>
      </c>
    </row>
    <row r="136" spans="1:5" ht="20.100000000000001" customHeight="1">
      <c r="A136" s="6" t="s">
        <v>161</v>
      </c>
      <c r="B136" s="2" t="s">
        <v>24</v>
      </c>
      <c r="C136" s="2" t="s">
        <v>116</v>
      </c>
      <c r="D136" s="2" t="s">
        <v>155</v>
      </c>
      <c r="E136" s="69">
        <v>4136</v>
      </c>
    </row>
    <row r="137" spans="1:5" ht="20.100000000000001" customHeight="1">
      <c r="A137" s="6" t="s">
        <v>162</v>
      </c>
      <c r="B137" s="2" t="s">
        <v>24</v>
      </c>
      <c r="C137" s="2" t="s">
        <v>116</v>
      </c>
      <c r="D137" s="2" t="s">
        <v>155</v>
      </c>
      <c r="E137" s="69">
        <v>4192</v>
      </c>
    </row>
    <row r="138" spans="1:5" ht="20.100000000000001" customHeight="1">
      <c r="A138" s="6" t="s">
        <v>163</v>
      </c>
      <c r="B138" s="2" t="s">
        <v>24</v>
      </c>
      <c r="C138" s="2" t="s">
        <v>116</v>
      </c>
      <c r="D138" s="2" t="s">
        <v>155</v>
      </c>
      <c r="E138" s="71">
        <v>4104</v>
      </c>
    </row>
    <row r="139" spans="1:5" ht="20.100000000000001" customHeight="1">
      <c r="A139" s="6" t="s">
        <v>164</v>
      </c>
      <c r="B139" s="2" t="s">
        <v>24</v>
      </c>
      <c r="C139" s="2" t="s">
        <v>116</v>
      </c>
      <c r="D139" s="2" t="s">
        <v>155</v>
      </c>
      <c r="E139" s="71">
        <v>4182</v>
      </c>
    </row>
    <row r="140" spans="1:5" ht="20.100000000000001" customHeight="1">
      <c r="A140" s="6" t="s">
        <v>165</v>
      </c>
      <c r="B140" s="2" t="s">
        <v>24</v>
      </c>
      <c r="C140" s="2" t="s">
        <v>116</v>
      </c>
      <c r="D140" s="2" t="s">
        <v>155</v>
      </c>
      <c r="E140" s="71">
        <v>4011</v>
      </c>
    </row>
    <row r="141" spans="1:5" ht="20.100000000000001" customHeight="1">
      <c r="A141" s="6" t="s">
        <v>166</v>
      </c>
      <c r="B141" s="2" t="s">
        <v>24</v>
      </c>
      <c r="C141" s="2" t="s">
        <v>116</v>
      </c>
      <c r="D141" s="2" t="s">
        <v>155</v>
      </c>
      <c r="E141" s="71">
        <v>4045</v>
      </c>
    </row>
    <row r="142" spans="1:5" ht="20.100000000000001" customHeight="1">
      <c r="A142" s="6" t="s">
        <v>167</v>
      </c>
      <c r="B142" s="2" t="s">
        <v>32</v>
      </c>
      <c r="C142" s="2" t="s">
        <v>116</v>
      </c>
      <c r="D142" s="2" t="s">
        <v>155</v>
      </c>
      <c r="E142" s="71">
        <v>4022</v>
      </c>
    </row>
    <row r="143" spans="1:5" ht="20.100000000000001" customHeight="1">
      <c r="A143" s="1" t="s">
        <v>13</v>
      </c>
      <c r="B143" s="4" t="s">
        <v>13</v>
      </c>
      <c r="C143" s="4" t="s">
        <v>13</v>
      </c>
      <c r="D143" s="4" t="s">
        <v>13</v>
      </c>
      <c r="E143" s="4"/>
    </row>
    <row r="144" spans="1:5" ht="20.100000000000001" customHeight="1">
      <c r="A144" s="53" t="s">
        <v>168</v>
      </c>
      <c r="B144" s="154"/>
      <c r="C144" s="154"/>
      <c r="D144" s="154"/>
      <c r="E144" s="155"/>
    </row>
    <row r="145" spans="1:5" ht="20.100000000000001" customHeight="1">
      <c r="A145" s="40" t="s">
        <v>1</v>
      </c>
      <c r="B145" s="41" t="s">
        <v>3</v>
      </c>
      <c r="C145" s="41" t="s">
        <v>4</v>
      </c>
      <c r="D145" s="41" t="s">
        <v>5</v>
      </c>
      <c r="E145" s="70" t="s">
        <v>6</v>
      </c>
    </row>
    <row r="146" spans="1:5" ht="20.100000000000001" customHeight="1">
      <c r="A146" s="6" t="s">
        <v>169</v>
      </c>
      <c r="B146" s="2" t="s">
        <v>18</v>
      </c>
      <c r="C146" s="2" t="s">
        <v>116</v>
      </c>
      <c r="D146" s="2" t="s">
        <v>170</v>
      </c>
      <c r="E146" s="73">
        <v>4160</v>
      </c>
    </row>
    <row r="147" spans="1:5" ht="20.100000000000001" customHeight="1">
      <c r="A147" s="6" t="s">
        <v>171</v>
      </c>
      <c r="B147" s="2" t="s">
        <v>78</v>
      </c>
      <c r="C147" s="2" t="s">
        <v>116</v>
      </c>
      <c r="D147" s="2" t="s">
        <v>170</v>
      </c>
      <c r="E147" s="69">
        <v>4028</v>
      </c>
    </row>
    <row r="148" spans="1:5" ht="20.100000000000001" customHeight="1">
      <c r="A148" s="6" t="s">
        <v>172</v>
      </c>
      <c r="B148" s="2" t="s">
        <v>78</v>
      </c>
      <c r="C148" s="2" t="s">
        <v>116</v>
      </c>
      <c r="D148" s="2" t="s">
        <v>170</v>
      </c>
      <c r="E148" s="69">
        <v>4124</v>
      </c>
    </row>
    <row r="149" spans="1:5" s="86" customFormat="1" ht="20.100000000000001" customHeight="1">
      <c r="A149" s="82" t="s">
        <v>173</v>
      </c>
      <c r="B149" s="84" t="s">
        <v>78</v>
      </c>
      <c r="C149" s="84" t="s">
        <v>116</v>
      </c>
      <c r="D149" s="84" t="s">
        <v>170</v>
      </c>
      <c r="E149" s="88">
        <v>4069</v>
      </c>
    </row>
    <row r="150" spans="1:5" s="86" customFormat="1" ht="20.100000000000001" customHeight="1">
      <c r="A150" s="82" t="s">
        <v>174</v>
      </c>
      <c r="B150" s="84" t="s">
        <v>78</v>
      </c>
      <c r="C150" s="84" t="s">
        <v>116</v>
      </c>
      <c r="D150" s="84" t="s">
        <v>170</v>
      </c>
      <c r="E150" s="88">
        <v>4089</v>
      </c>
    </row>
    <row r="151" spans="1:5" s="86" customFormat="1" ht="20.100000000000001" customHeight="1">
      <c r="A151" s="82" t="s">
        <v>175</v>
      </c>
      <c r="B151" s="84" t="s">
        <v>58</v>
      </c>
      <c r="C151" s="84" t="s">
        <v>116</v>
      </c>
      <c r="D151" s="84" t="s">
        <v>170</v>
      </c>
      <c r="E151" s="91">
        <v>4063</v>
      </c>
    </row>
    <row r="152" spans="1:5" s="86" customFormat="1" ht="20.100000000000001" customHeight="1">
      <c r="A152" s="82" t="s">
        <v>176</v>
      </c>
      <c r="B152" s="84" t="s">
        <v>46</v>
      </c>
      <c r="C152" s="84" t="s">
        <v>116</v>
      </c>
      <c r="D152" s="84" t="s">
        <v>170</v>
      </c>
      <c r="E152" s="91">
        <v>4159</v>
      </c>
    </row>
    <row r="153" spans="1:5" s="86" customFormat="1" ht="20.100000000000001" customHeight="1">
      <c r="A153" s="6" t="s">
        <v>177</v>
      </c>
      <c r="B153" s="2" t="s">
        <v>178</v>
      </c>
      <c r="C153" s="2" t="s">
        <v>116</v>
      </c>
      <c r="D153" s="2" t="s">
        <v>170</v>
      </c>
      <c r="E153" s="69">
        <v>4199</v>
      </c>
    </row>
    <row r="154" spans="1:5" s="86" customFormat="1" ht="20.100000000000001" customHeight="1">
      <c r="A154" s="82" t="s">
        <v>179</v>
      </c>
      <c r="B154" s="84" t="s">
        <v>24</v>
      </c>
      <c r="C154" s="84" t="s">
        <v>116</v>
      </c>
      <c r="D154" s="84" t="s">
        <v>170</v>
      </c>
      <c r="E154" s="88">
        <v>4013</v>
      </c>
    </row>
    <row r="155" spans="1:5" s="86" customFormat="1" ht="20.100000000000001" customHeight="1">
      <c r="A155" s="82" t="s">
        <v>180</v>
      </c>
      <c r="B155" s="84" t="s">
        <v>24</v>
      </c>
      <c r="C155" s="84" t="s">
        <v>116</v>
      </c>
      <c r="D155" s="84" t="s">
        <v>170</v>
      </c>
      <c r="E155" s="88">
        <v>4169</v>
      </c>
    </row>
    <row r="156" spans="1:5" s="86" customFormat="1" ht="20.100000000000001" customHeight="1">
      <c r="A156" s="82" t="s">
        <v>181</v>
      </c>
      <c r="B156" s="84" t="s">
        <v>24</v>
      </c>
      <c r="C156" s="84" t="s">
        <v>116</v>
      </c>
      <c r="D156" s="84" t="s">
        <v>170</v>
      </c>
      <c r="E156" s="88">
        <v>4066</v>
      </c>
    </row>
    <row r="157" spans="1:5" s="86" customFormat="1" ht="20.100000000000001" customHeight="1">
      <c r="A157" s="82" t="s">
        <v>182</v>
      </c>
      <c r="B157" s="84" t="s">
        <v>24</v>
      </c>
      <c r="C157" s="84" t="s">
        <v>116</v>
      </c>
      <c r="D157" s="84" t="s">
        <v>170</v>
      </c>
      <c r="E157" s="91">
        <v>4057</v>
      </c>
    </row>
    <row r="158" spans="1:5" s="86" customFormat="1" ht="20.100000000000001" customHeight="1">
      <c r="A158" s="82" t="s">
        <v>183</v>
      </c>
      <c r="B158" s="84" t="s">
        <v>24</v>
      </c>
      <c r="C158" s="84" t="s">
        <v>116</v>
      </c>
      <c r="D158" s="84" t="s">
        <v>170</v>
      </c>
      <c r="E158" s="88">
        <v>4118</v>
      </c>
    </row>
    <row r="159" spans="1:5" s="86" customFormat="1" ht="20.100000000000001" customHeight="1">
      <c r="A159" s="82" t="s">
        <v>184</v>
      </c>
      <c r="B159" s="84" t="s">
        <v>24</v>
      </c>
      <c r="C159" s="84" t="s">
        <v>116</v>
      </c>
      <c r="D159" s="84" t="s">
        <v>170</v>
      </c>
      <c r="E159" s="91">
        <v>4128</v>
      </c>
    </row>
    <row r="160" spans="1:5" s="86" customFormat="1" ht="20.100000000000001" customHeight="1">
      <c r="A160" s="82" t="s">
        <v>185</v>
      </c>
      <c r="B160" s="84" t="s">
        <v>24</v>
      </c>
      <c r="C160" s="84" t="s">
        <v>116</v>
      </c>
      <c r="D160" s="84" t="s">
        <v>170</v>
      </c>
      <c r="E160" s="88">
        <v>4033</v>
      </c>
    </row>
    <row r="161" spans="1:7" s="86" customFormat="1" ht="20.100000000000001" customHeight="1">
      <c r="A161" s="82" t="s">
        <v>186</v>
      </c>
      <c r="B161" s="84" t="s">
        <v>24</v>
      </c>
      <c r="C161" s="84" t="s">
        <v>116</v>
      </c>
      <c r="D161" s="84" t="s">
        <v>170</v>
      </c>
      <c r="E161" s="91">
        <v>4157</v>
      </c>
    </row>
    <row r="162" spans="1:7" s="86" customFormat="1" ht="20.100000000000001" customHeight="1">
      <c r="A162" s="82" t="s">
        <v>187</v>
      </c>
      <c r="B162" s="84" t="s">
        <v>24</v>
      </c>
      <c r="C162" s="84" t="s">
        <v>116</v>
      </c>
      <c r="D162" s="84" t="s">
        <v>170</v>
      </c>
      <c r="E162" s="88">
        <v>4129</v>
      </c>
    </row>
    <row r="163" spans="1:7" s="86" customFormat="1" ht="20.100000000000001" customHeight="1">
      <c r="A163" s="82" t="s">
        <v>188</v>
      </c>
      <c r="B163" s="84" t="s">
        <v>24</v>
      </c>
      <c r="C163" s="84" t="s">
        <v>116</v>
      </c>
      <c r="D163" s="84" t="s">
        <v>170</v>
      </c>
      <c r="E163" s="88">
        <v>4186</v>
      </c>
    </row>
    <row r="164" spans="1:7" s="86" customFormat="1" ht="20.100000000000001" customHeight="1">
      <c r="A164" s="94" t="s">
        <v>189</v>
      </c>
      <c r="B164" s="96" t="s">
        <v>24</v>
      </c>
      <c r="C164" s="96" t="s">
        <v>116</v>
      </c>
      <c r="D164" s="96" t="s">
        <v>170</v>
      </c>
      <c r="E164" s="95">
        <v>4041</v>
      </c>
      <c r="F164" s="97" t="s">
        <v>190</v>
      </c>
      <c r="G164" s="97" t="s">
        <v>190</v>
      </c>
    </row>
    <row r="165" spans="1:7" s="86" customFormat="1" ht="20.100000000000001" customHeight="1">
      <c r="A165" s="94" t="s">
        <v>166</v>
      </c>
      <c r="B165" s="96" t="s">
        <v>24</v>
      </c>
      <c r="C165" s="96" t="s">
        <v>116</v>
      </c>
      <c r="D165" s="96" t="s">
        <v>170</v>
      </c>
      <c r="E165" s="95"/>
      <c r="F165" s="97"/>
      <c r="G165" s="97"/>
    </row>
    <row r="166" spans="1:7" s="86" customFormat="1" ht="20.100000000000001" customHeight="1">
      <c r="A166" s="82" t="s">
        <v>191</v>
      </c>
      <c r="B166" s="84" t="s">
        <v>24</v>
      </c>
      <c r="C166" s="84" t="s">
        <v>116</v>
      </c>
      <c r="D166" s="84" t="s">
        <v>170</v>
      </c>
      <c r="E166" s="91">
        <v>4000</v>
      </c>
    </row>
    <row r="167" spans="1:7" s="86" customFormat="1" ht="20.100000000000001" customHeight="1">
      <c r="A167" s="82" t="s">
        <v>192</v>
      </c>
      <c r="B167" s="84" t="s">
        <v>193</v>
      </c>
      <c r="C167" s="84" t="s">
        <v>116</v>
      </c>
      <c r="D167" s="84" t="s">
        <v>170</v>
      </c>
      <c r="E167" s="88">
        <v>4000</v>
      </c>
    </row>
    <row r="168" spans="1:7" s="86" customFormat="1" ht="20.100000000000001" customHeight="1">
      <c r="A168" s="82" t="s">
        <v>194</v>
      </c>
      <c r="B168" s="84" t="s">
        <v>193</v>
      </c>
      <c r="C168" s="84" t="s">
        <v>116</v>
      </c>
      <c r="D168" s="84" t="s">
        <v>170</v>
      </c>
      <c r="E168" s="88">
        <v>4091</v>
      </c>
    </row>
    <row r="169" spans="1:7" s="86" customFormat="1" ht="20.100000000000001" customHeight="1">
      <c r="A169" s="82" t="s">
        <v>195</v>
      </c>
      <c r="B169" s="84" t="s">
        <v>193</v>
      </c>
      <c r="C169" s="84" t="s">
        <v>116</v>
      </c>
      <c r="D169" s="84" t="s">
        <v>170</v>
      </c>
      <c r="E169" s="88">
        <v>4000</v>
      </c>
    </row>
    <row r="170" spans="1:7" s="86" customFormat="1" ht="20.100000000000001" customHeight="1">
      <c r="A170" s="82" t="s">
        <v>196</v>
      </c>
      <c r="B170" s="84" t="s">
        <v>28</v>
      </c>
      <c r="C170" s="84" t="s">
        <v>116</v>
      </c>
      <c r="D170" s="84" t="s">
        <v>170</v>
      </c>
      <c r="E170" s="88">
        <v>4221</v>
      </c>
    </row>
    <row r="171" spans="1:7" s="86" customFormat="1" ht="20.100000000000001" customHeight="1">
      <c r="A171" s="82" t="s">
        <v>197</v>
      </c>
      <c r="B171" s="84" t="s">
        <v>28</v>
      </c>
      <c r="C171" s="84" t="s">
        <v>116</v>
      </c>
      <c r="D171" s="84" t="s">
        <v>170</v>
      </c>
      <c r="E171" s="91">
        <v>4071</v>
      </c>
    </row>
    <row r="172" spans="1:7" s="86" customFormat="1" ht="20.100000000000001" customHeight="1">
      <c r="A172" s="82" t="s">
        <v>198</v>
      </c>
      <c r="B172" s="84" t="s">
        <v>28</v>
      </c>
      <c r="C172" s="84" t="s">
        <v>116</v>
      </c>
      <c r="D172" s="84" t="s">
        <v>170</v>
      </c>
      <c r="E172" s="88">
        <v>4071</v>
      </c>
    </row>
    <row r="173" spans="1:7" s="86" customFormat="1" ht="20.100000000000001" customHeight="1">
      <c r="A173" s="82" t="s">
        <v>199</v>
      </c>
      <c r="B173" s="84" t="s">
        <v>28</v>
      </c>
      <c r="C173" s="84" t="s">
        <v>116</v>
      </c>
      <c r="D173" s="84" t="s">
        <v>170</v>
      </c>
      <c r="E173" s="91">
        <v>4071</v>
      </c>
    </row>
    <row r="174" spans="1:7" s="86" customFormat="1" ht="20.100000000000001" customHeight="1">
      <c r="A174" s="82" t="s">
        <v>200</v>
      </c>
      <c r="B174" s="84" t="s">
        <v>28</v>
      </c>
      <c r="C174" s="84" t="s">
        <v>116</v>
      </c>
      <c r="D174" s="84" t="s">
        <v>170</v>
      </c>
      <c r="E174" s="88">
        <v>4221</v>
      </c>
    </row>
    <row r="175" spans="1:7" s="86" customFormat="1" ht="20.100000000000001" customHeight="1">
      <c r="A175" s="82" t="s">
        <v>201</v>
      </c>
      <c r="B175" s="84" t="s">
        <v>28</v>
      </c>
      <c r="C175" s="84" t="s">
        <v>116</v>
      </c>
      <c r="D175" s="84" t="s">
        <v>170</v>
      </c>
      <c r="E175" s="91">
        <v>4071</v>
      </c>
    </row>
    <row r="176" spans="1:7" s="86" customFormat="1" ht="20.100000000000001" customHeight="1">
      <c r="A176" s="82" t="s">
        <v>202</v>
      </c>
      <c r="B176" s="84" t="s">
        <v>28</v>
      </c>
      <c r="C176" s="84" t="s">
        <v>116</v>
      </c>
      <c r="D176" s="84" t="s">
        <v>170</v>
      </c>
      <c r="E176" s="88">
        <v>4071</v>
      </c>
    </row>
    <row r="177" spans="1:5" s="86" customFormat="1" ht="20.100000000000001" customHeight="1">
      <c r="A177" s="82" t="s">
        <v>203</v>
      </c>
      <c r="B177" s="84" t="s">
        <v>28</v>
      </c>
      <c r="C177" s="84" t="s">
        <v>116</v>
      </c>
      <c r="D177" s="84" t="s">
        <v>170</v>
      </c>
      <c r="E177" s="102">
        <v>4082</v>
      </c>
    </row>
    <row r="178" spans="1:5" s="86" customFormat="1" ht="20.100000000000001" customHeight="1">
      <c r="A178" s="82" t="s">
        <v>204</v>
      </c>
      <c r="B178" s="84" t="s">
        <v>24</v>
      </c>
      <c r="C178" s="84" t="s">
        <v>116</v>
      </c>
      <c r="D178" s="84" t="s">
        <v>170</v>
      </c>
      <c r="E178" s="102"/>
    </row>
    <row r="179" spans="1:5" s="86" customFormat="1" ht="20.100000000000001" customHeight="1">
      <c r="A179" s="82" t="s">
        <v>205</v>
      </c>
      <c r="B179" s="84" t="s">
        <v>24</v>
      </c>
      <c r="C179" s="84" t="s">
        <v>116</v>
      </c>
      <c r="D179" s="84" t="s">
        <v>170</v>
      </c>
      <c r="E179" s="91"/>
    </row>
    <row r="180" spans="1:5" s="86" customFormat="1" ht="20.100000000000001" customHeight="1">
      <c r="A180" s="82" t="s">
        <v>206</v>
      </c>
      <c r="B180" s="84" t="s">
        <v>32</v>
      </c>
      <c r="C180" s="84" t="s">
        <v>116</v>
      </c>
      <c r="D180" s="84" t="s">
        <v>170</v>
      </c>
      <c r="E180" s="88"/>
    </row>
    <row r="181" spans="1:5" ht="20.100000000000001" customHeight="1">
      <c r="A181" s="6" t="s">
        <v>207</v>
      </c>
      <c r="B181" s="2" t="s">
        <v>32</v>
      </c>
      <c r="C181" s="2" t="s">
        <v>116</v>
      </c>
      <c r="D181" s="2" t="s">
        <v>170</v>
      </c>
      <c r="E181" s="73">
        <v>4005</v>
      </c>
    </row>
    <row r="182" spans="1:5" ht="20.100000000000001" customHeight="1">
      <c r="A182" s="6" t="s">
        <v>208</v>
      </c>
      <c r="B182" s="2" t="s">
        <v>32</v>
      </c>
      <c r="C182" s="2" t="s">
        <v>116</v>
      </c>
      <c r="D182" s="2" t="s">
        <v>170</v>
      </c>
      <c r="E182" s="77">
        <v>4204</v>
      </c>
    </row>
    <row r="183" spans="1:5" ht="20.100000000000001" customHeight="1">
      <c r="A183" s="6" t="s">
        <v>209</v>
      </c>
      <c r="B183" s="2" t="s">
        <v>32</v>
      </c>
      <c r="C183" s="2" t="s">
        <v>116</v>
      </c>
      <c r="D183" s="2" t="s">
        <v>170</v>
      </c>
      <c r="E183" s="77"/>
    </row>
    <row r="184" spans="1:5" ht="20.100000000000001" customHeight="1">
      <c r="A184" s="6" t="s">
        <v>166</v>
      </c>
      <c r="B184" s="2"/>
      <c r="C184" s="2"/>
      <c r="D184" s="2"/>
      <c r="E184" s="77"/>
    </row>
    <row r="185" spans="1:5" ht="20.100000000000001" customHeight="1">
      <c r="A185" s="1"/>
      <c r="B185" s="4"/>
      <c r="C185" s="4"/>
      <c r="D185" s="4"/>
      <c r="E185" s="4"/>
    </row>
    <row r="186" spans="1:5" ht="20.100000000000001" customHeight="1">
      <c r="A186" s="54" t="s">
        <v>210</v>
      </c>
      <c r="B186" s="156"/>
      <c r="C186" s="156"/>
      <c r="D186" s="156"/>
      <c r="E186" s="157"/>
    </row>
    <row r="187" spans="1:5" ht="20.100000000000001" customHeight="1">
      <c r="A187" s="40" t="s">
        <v>1</v>
      </c>
      <c r="B187" s="41" t="s">
        <v>3</v>
      </c>
      <c r="C187" s="41" t="s">
        <v>4</v>
      </c>
      <c r="D187" s="41" t="s">
        <v>5</v>
      </c>
      <c r="E187" s="75" t="s">
        <v>6</v>
      </c>
    </row>
    <row r="188" spans="1:5" ht="20.100000000000001" customHeight="1">
      <c r="A188" s="6" t="s">
        <v>211</v>
      </c>
      <c r="B188" s="2" t="s">
        <v>115</v>
      </c>
      <c r="C188" s="2" t="s">
        <v>212</v>
      </c>
      <c r="D188" s="2" t="s">
        <v>212</v>
      </c>
      <c r="E188" s="73">
        <v>4167</v>
      </c>
    </row>
    <row r="189" spans="1:5" ht="20.100000000000001" customHeight="1">
      <c r="A189" s="6" t="s">
        <v>213</v>
      </c>
      <c r="B189" s="2" t="s">
        <v>18</v>
      </c>
      <c r="C189" s="2" t="s">
        <v>212</v>
      </c>
      <c r="D189" s="2" t="s">
        <v>214</v>
      </c>
      <c r="E189" s="74">
        <v>4150</v>
      </c>
    </row>
    <row r="190" spans="1:5" ht="20.100000000000001" customHeight="1">
      <c r="A190" s="6" t="s">
        <v>215</v>
      </c>
      <c r="B190" s="2" t="s">
        <v>18</v>
      </c>
      <c r="C190" s="2" t="s">
        <v>212</v>
      </c>
      <c r="D190" s="2" t="s">
        <v>216</v>
      </c>
      <c r="E190" s="76">
        <v>4175</v>
      </c>
    </row>
    <row r="191" spans="1:5" ht="20.100000000000001" customHeight="1">
      <c r="A191" s="6" t="s">
        <v>217</v>
      </c>
      <c r="B191" s="2" t="s">
        <v>18</v>
      </c>
      <c r="C191" s="2" t="s">
        <v>212</v>
      </c>
      <c r="D191" s="2" t="s">
        <v>218</v>
      </c>
      <c r="E191" s="76">
        <v>4194</v>
      </c>
    </row>
    <row r="192" spans="1:5" ht="20.100000000000001" customHeight="1">
      <c r="A192" s="6" t="s">
        <v>219</v>
      </c>
      <c r="B192" s="2" t="s">
        <v>55</v>
      </c>
      <c r="C192" s="2" t="s">
        <v>212</v>
      </c>
      <c r="D192" s="2" t="s">
        <v>212</v>
      </c>
      <c r="E192" s="106">
        <v>4115</v>
      </c>
    </row>
    <row r="193" spans="1:5" ht="20.100000000000001" customHeight="1">
      <c r="A193" s="6" t="s">
        <v>220</v>
      </c>
      <c r="B193" s="2" t="s">
        <v>57</v>
      </c>
      <c r="C193" s="2" t="s">
        <v>212</v>
      </c>
      <c r="D193" s="2" t="s">
        <v>212</v>
      </c>
      <c r="E193" s="74">
        <v>4083</v>
      </c>
    </row>
    <row r="194" spans="1:5" ht="20.100000000000001" customHeight="1">
      <c r="A194" s="6" t="s">
        <v>221</v>
      </c>
      <c r="B194" s="2" t="s">
        <v>46</v>
      </c>
      <c r="C194" s="2" t="s">
        <v>212</v>
      </c>
      <c r="D194" s="2" t="s">
        <v>216</v>
      </c>
      <c r="E194" s="76">
        <v>4137</v>
      </c>
    </row>
    <row r="195" spans="1:5" ht="20.100000000000001" customHeight="1">
      <c r="A195" s="6" t="s">
        <v>222</v>
      </c>
      <c r="B195" s="2" t="s">
        <v>22</v>
      </c>
      <c r="C195" s="2" t="s">
        <v>212</v>
      </c>
      <c r="D195" s="2" t="s">
        <v>214</v>
      </c>
      <c r="E195" s="73">
        <v>4334</v>
      </c>
    </row>
    <row r="196" spans="1:5" ht="20.100000000000001" customHeight="1">
      <c r="A196" s="6" t="s">
        <v>223</v>
      </c>
      <c r="B196" s="2" t="s">
        <v>22</v>
      </c>
      <c r="C196" s="2" t="s">
        <v>212</v>
      </c>
      <c r="D196" s="2" t="s">
        <v>218</v>
      </c>
      <c r="E196" s="105">
        <v>4499</v>
      </c>
    </row>
    <row r="197" spans="1:5" ht="20.100000000000001" customHeight="1">
      <c r="A197" s="6" t="s">
        <v>224</v>
      </c>
      <c r="B197" s="2" t="s">
        <v>46</v>
      </c>
      <c r="C197" s="2" t="s">
        <v>212</v>
      </c>
      <c r="D197" s="2" t="s">
        <v>212</v>
      </c>
      <c r="E197" s="105">
        <v>4173</v>
      </c>
    </row>
    <row r="198" spans="1:5" ht="20.100000000000001" customHeight="1">
      <c r="A198" s="6" t="s">
        <v>225</v>
      </c>
      <c r="B198" s="2" t="s">
        <v>22</v>
      </c>
      <c r="C198" s="2" t="s">
        <v>212</v>
      </c>
      <c r="D198" s="2" t="s">
        <v>214</v>
      </c>
      <c r="E198" s="105">
        <v>4315</v>
      </c>
    </row>
    <row r="199" spans="1:5" ht="20.100000000000001" customHeight="1">
      <c r="A199" s="6" t="s">
        <v>226</v>
      </c>
      <c r="B199" s="2" t="s">
        <v>22</v>
      </c>
      <c r="C199" s="2" t="s">
        <v>212</v>
      </c>
      <c r="D199" s="2" t="s">
        <v>212</v>
      </c>
      <c r="E199" s="105">
        <v>4317</v>
      </c>
    </row>
    <row r="200" spans="1:5" ht="20.100000000000001" customHeight="1">
      <c r="A200" s="6" t="s">
        <v>227</v>
      </c>
      <c r="B200" s="2" t="s">
        <v>120</v>
      </c>
      <c r="C200" s="2" t="s">
        <v>212</v>
      </c>
      <c r="D200" s="2" t="s">
        <v>212</v>
      </c>
      <c r="E200" s="105">
        <v>4009</v>
      </c>
    </row>
    <row r="201" spans="1:5" ht="20.100000000000001" customHeight="1">
      <c r="A201" s="6" t="s">
        <v>228</v>
      </c>
      <c r="B201" s="2" t="s">
        <v>24</v>
      </c>
      <c r="C201" s="2" t="s">
        <v>212</v>
      </c>
      <c r="D201" s="2" t="s">
        <v>212</v>
      </c>
      <c r="E201" s="74">
        <v>4123</v>
      </c>
    </row>
    <row r="202" spans="1:5" ht="20.100000000000001" customHeight="1">
      <c r="A202" s="6" t="s">
        <v>229</v>
      </c>
      <c r="B202" s="2" t="s">
        <v>24</v>
      </c>
      <c r="C202" s="2" t="s">
        <v>212</v>
      </c>
      <c r="D202" s="2" t="s">
        <v>212</v>
      </c>
      <c r="E202" s="73">
        <v>4048</v>
      </c>
    </row>
    <row r="203" spans="1:5" ht="20.100000000000001" customHeight="1">
      <c r="A203" s="6" t="s">
        <v>230</v>
      </c>
      <c r="B203" s="2" t="s">
        <v>24</v>
      </c>
      <c r="C203" s="2" t="s">
        <v>212</v>
      </c>
      <c r="D203" s="2" t="s">
        <v>212</v>
      </c>
      <c r="E203" s="74">
        <v>4051</v>
      </c>
    </row>
    <row r="204" spans="1:5" ht="20.100000000000001" customHeight="1">
      <c r="A204" s="6" t="s">
        <v>231</v>
      </c>
      <c r="B204" s="2" t="s">
        <v>24</v>
      </c>
      <c r="C204" s="2" t="s">
        <v>212</v>
      </c>
      <c r="D204" s="2" t="s">
        <v>212</v>
      </c>
      <c r="E204" s="73">
        <v>4151</v>
      </c>
    </row>
    <row r="205" spans="1:5" ht="20.100000000000001" customHeight="1">
      <c r="A205" s="6" t="s">
        <v>232</v>
      </c>
      <c r="B205" s="2" t="s">
        <v>32</v>
      </c>
      <c r="C205" s="2" t="s">
        <v>212</v>
      </c>
      <c r="D205" s="2" t="s">
        <v>214</v>
      </c>
      <c r="E205" s="73"/>
    </row>
    <row r="206" spans="1:5" ht="20.100000000000001" customHeight="1">
      <c r="A206" s="6" t="s">
        <v>166</v>
      </c>
      <c r="B206" s="2"/>
      <c r="C206" s="2"/>
      <c r="D206" s="2"/>
      <c r="E206" s="78"/>
    </row>
    <row r="207" spans="1:5" ht="20.100000000000001" customHeight="1">
      <c r="A207" s="6" t="s">
        <v>233</v>
      </c>
      <c r="B207" s="2" t="s">
        <v>32</v>
      </c>
      <c r="C207" s="2" t="s">
        <v>212</v>
      </c>
      <c r="D207" s="2" t="s">
        <v>218</v>
      </c>
      <c r="E207" s="74">
        <v>4062</v>
      </c>
    </row>
    <row r="208" spans="1:5" ht="20.100000000000001" customHeight="1">
      <c r="A208" s="1" t="s">
        <v>13</v>
      </c>
      <c r="B208" s="4" t="s">
        <v>13</v>
      </c>
      <c r="C208" s="4" t="s">
        <v>13</v>
      </c>
      <c r="D208" s="4" t="s">
        <v>13</v>
      </c>
      <c r="E208" s="72"/>
    </row>
    <row r="209" spans="1:5" ht="20.100000000000001" customHeight="1">
      <c r="A209" s="55" t="s">
        <v>234</v>
      </c>
      <c r="B209" s="158"/>
      <c r="C209" s="158"/>
      <c r="D209" s="158"/>
      <c r="E209" s="159"/>
    </row>
    <row r="210" spans="1:5" ht="20.100000000000001" customHeight="1">
      <c r="A210" s="40" t="s">
        <v>1</v>
      </c>
      <c r="B210" s="41" t="s">
        <v>3</v>
      </c>
      <c r="C210" s="41" t="s">
        <v>4</v>
      </c>
      <c r="D210" s="41" t="s">
        <v>5</v>
      </c>
      <c r="E210" s="75" t="s">
        <v>6</v>
      </c>
    </row>
    <row r="211" spans="1:5" ht="20.100000000000001" customHeight="1">
      <c r="A211" s="6" t="s">
        <v>235</v>
      </c>
      <c r="B211" s="2" t="s">
        <v>115</v>
      </c>
      <c r="C211" s="2" t="s">
        <v>236</v>
      </c>
      <c r="D211" s="2" t="s">
        <v>236</v>
      </c>
      <c r="E211" s="76">
        <v>4179</v>
      </c>
    </row>
    <row r="212" spans="1:5" s="86" customFormat="1" ht="20.100000000000001" customHeight="1">
      <c r="A212" s="82" t="s">
        <v>237</v>
      </c>
      <c r="B212" s="84" t="s">
        <v>18</v>
      </c>
      <c r="C212" s="84" t="s">
        <v>236</v>
      </c>
      <c r="D212" s="84" t="s">
        <v>238</v>
      </c>
      <c r="E212" s="90">
        <v>4007</v>
      </c>
    </row>
    <row r="213" spans="1:5" s="86" customFormat="1" ht="20.100000000000001" customHeight="1">
      <c r="A213" s="82" t="s">
        <v>239</v>
      </c>
      <c r="B213" s="84" t="s">
        <v>18</v>
      </c>
      <c r="C213" s="84" t="s">
        <v>236</v>
      </c>
      <c r="D213" s="84" t="s">
        <v>240</v>
      </c>
      <c r="E213" s="88">
        <v>4109</v>
      </c>
    </row>
    <row r="214" spans="1:5" s="86" customFormat="1" ht="20.100000000000001" customHeight="1">
      <c r="A214" s="82" t="s">
        <v>241</v>
      </c>
      <c r="B214" s="84" t="s">
        <v>18</v>
      </c>
      <c r="C214" s="84" t="s">
        <v>236</v>
      </c>
      <c r="D214" s="84" t="s">
        <v>242</v>
      </c>
      <c r="E214" s="91">
        <v>4131</v>
      </c>
    </row>
    <row r="215" spans="1:5" s="86" customFormat="1" ht="20.100000000000001" customHeight="1">
      <c r="A215" s="82" t="s">
        <v>243</v>
      </c>
      <c r="B215" s="84"/>
      <c r="C215" s="84" t="s">
        <v>236</v>
      </c>
      <c r="D215" s="84" t="s">
        <v>240</v>
      </c>
      <c r="E215" s="116"/>
    </row>
    <row r="216" spans="1:5" s="86" customFormat="1" ht="20.100000000000001" customHeight="1">
      <c r="A216" s="82" t="s">
        <v>244</v>
      </c>
      <c r="B216" s="84"/>
      <c r="C216" s="84" t="s">
        <v>236</v>
      </c>
      <c r="D216" s="84" t="s">
        <v>236</v>
      </c>
      <c r="E216" s="91">
        <v>4323</v>
      </c>
    </row>
    <row r="217" spans="1:5" s="86" customFormat="1" ht="20.100000000000001" customHeight="1">
      <c r="A217" s="82" t="s">
        <v>245</v>
      </c>
      <c r="B217" s="84" t="s">
        <v>55</v>
      </c>
      <c r="C217" s="84" t="s">
        <v>236</v>
      </c>
      <c r="D217" s="84" t="s">
        <v>236</v>
      </c>
      <c r="E217" s="88">
        <v>4025</v>
      </c>
    </row>
    <row r="218" spans="1:5" s="86" customFormat="1" ht="20.100000000000001" customHeight="1">
      <c r="A218" s="101" t="s">
        <v>246</v>
      </c>
      <c r="B218" s="84" t="s">
        <v>22</v>
      </c>
      <c r="C218" s="84" t="s">
        <v>236</v>
      </c>
      <c r="D218" s="84" t="s">
        <v>236</v>
      </c>
      <c r="E218" s="102"/>
    </row>
    <row r="219" spans="1:5" s="86" customFormat="1" ht="20.100000000000001" customHeight="1">
      <c r="A219" s="82" t="s">
        <v>247</v>
      </c>
      <c r="B219" s="84" t="s">
        <v>120</v>
      </c>
      <c r="C219" s="84" t="s">
        <v>236</v>
      </c>
      <c r="D219" s="84" t="s">
        <v>236</v>
      </c>
      <c r="E219" s="102">
        <v>4077</v>
      </c>
    </row>
    <row r="220" spans="1:5" s="86" customFormat="1" ht="20.100000000000001" customHeight="1">
      <c r="A220" s="82" t="s">
        <v>248</v>
      </c>
      <c r="B220" s="84" t="s">
        <v>22</v>
      </c>
      <c r="C220" s="84" t="s">
        <v>236</v>
      </c>
      <c r="D220" s="84" t="s">
        <v>238</v>
      </c>
      <c r="E220" s="102"/>
    </row>
    <row r="221" spans="1:5" s="86" customFormat="1" ht="20.100000000000001" customHeight="1">
      <c r="A221" s="82" t="s">
        <v>249</v>
      </c>
      <c r="B221" s="84" t="s">
        <v>22</v>
      </c>
      <c r="C221" s="84" t="s">
        <v>236</v>
      </c>
      <c r="D221" s="84" t="s">
        <v>242</v>
      </c>
      <c r="E221" s="91">
        <v>4322</v>
      </c>
    </row>
    <row r="222" spans="1:5" s="86" customFormat="1" ht="20.100000000000001" customHeight="1">
      <c r="A222" s="82" t="s">
        <v>250</v>
      </c>
      <c r="B222" s="84" t="s">
        <v>122</v>
      </c>
      <c r="C222" s="84" t="s">
        <v>236</v>
      </c>
      <c r="D222" s="84" t="s">
        <v>236</v>
      </c>
      <c r="E222" s="88">
        <v>4067</v>
      </c>
    </row>
    <row r="223" spans="1:5" s="86" customFormat="1" ht="20.100000000000001" customHeight="1">
      <c r="A223" s="82" t="s">
        <v>251</v>
      </c>
      <c r="B223" s="84" t="s">
        <v>24</v>
      </c>
      <c r="C223" s="84" t="s">
        <v>236</v>
      </c>
      <c r="D223" s="84" t="s">
        <v>236</v>
      </c>
      <c r="E223" s="92">
        <v>4050</v>
      </c>
    </row>
    <row r="224" spans="1:5" s="86" customFormat="1" ht="20.100000000000001" customHeight="1">
      <c r="A224" s="82" t="s">
        <v>252</v>
      </c>
      <c r="B224" s="84" t="s">
        <v>24</v>
      </c>
      <c r="C224" s="84" t="s">
        <v>236</v>
      </c>
      <c r="D224" s="84" t="s">
        <v>238</v>
      </c>
      <c r="E224" s="91">
        <v>4122</v>
      </c>
    </row>
    <row r="225" spans="1:5" s="86" customFormat="1" ht="20.100000000000001" customHeight="1">
      <c r="A225" s="82" t="s">
        <v>253</v>
      </c>
      <c r="B225" s="84" t="s">
        <v>32</v>
      </c>
      <c r="C225" s="84" t="s">
        <v>236</v>
      </c>
      <c r="D225" s="84" t="s">
        <v>240</v>
      </c>
      <c r="E225" s="93">
        <v>4125</v>
      </c>
    </row>
    <row r="226" spans="1:5" s="86" customFormat="1" ht="20.100000000000001" customHeight="1">
      <c r="A226" s="82" t="s">
        <v>254</v>
      </c>
      <c r="B226" s="84" t="s">
        <v>32</v>
      </c>
      <c r="C226" s="84" t="s">
        <v>236</v>
      </c>
      <c r="D226" s="84" t="s">
        <v>238</v>
      </c>
      <c r="E226" s="88">
        <v>4111</v>
      </c>
    </row>
    <row r="227" spans="1:5" s="86" customFormat="1" ht="20.100000000000001" customHeight="1">
      <c r="A227" s="82" t="s">
        <v>255</v>
      </c>
      <c r="B227" s="84" t="s">
        <v>32</v>
      </c>
      <c r="C227" s="84" t="s">
        <v>236</v>
      </c>
      <c r="D227" s="84" t="s">
        <v>242</v>
      </c>
      <c r="E227" s="88">
        <v>4889</v>
      </c>
    </row>
    <row r="228" spans="1:5" ht="20.100000000000001" customHeight="1">
      <c r="A228" s="1" t="s">
        <v>13</v>
      </c>
      <c r="B228" s="4" t="s">
        <v>13</v>
      </c>
      <c r="C228" s="4" t="s">
        <v>13</v>
      </c>
      <c r="D228" s="4" t="s">
        <v>13</v>
      </c>
      <c r="E228" s="72"/>
    </row>
    <row r="229" spans="1:5" ht="20.100000000000001" customHeight="1">
      <c r="A229" s="56" t="s">
        <v>256</v>
      </c>
      <c r="B229" s="160"/>
      <c r="C229" s="160"/>
      <c r="D229" s="160"/>
      <c r="E229" s="161"/>
    </row>
    <row r="230" spans="1:5" ht="20.100000000000001" customHeight="1">
      <c r="A230" s="40" t="s">
        <v>1</v>
      </c>
      <c r="B230" s="41" t="s">
        <v>3</v>
      </c>
      <c r="C230" s="41" t="s">
        <v>4</v>
      </c>
      <c r="D230" s="41" t="s">
        <v>5</v>
      </c>
      <c r="E230" s="67" t="s">
        <v>6</v>
      </c>
    </row>
    <row r="231" spans="1:5" ht="20.100000000000001" customHeight="1">
      <c r="A231" s="6" t="s">
        <v>257</v>
      </c>
      <c r="B231" s="2" t="s">
        <v>115</v>
      </c>
      <c r="C231" s="2" t="s">
        <v>259</v>
      </c>
      <c r="D231" s="2" t="s">
        <v>259</v>
      </c>
      <c r="E231" s="61">
        <v>4194</v>
      </c>
    </row>
    <row r="232" spans="1:5" ht="20.100000000000001" customHeight="1">
      <c r="A232" s="6" t="s">
        <v>260</v>
      </c>
      <c r="B232" s="2" t="s">
        <v>18</v>
      </c>
      <c r="C232" s="2" t="s">
        <v>259</v>
      </c>
      <c r="D232" s="2" t="s">
        <v>261</v>
      </c>
      <c r="E232" s="3">
        <v>4072</v>
      </c>
    </row>
    <row r="233" spans="1:5" ht="20.100000000000001" customHeight="1">
      <c r="A233" s="6" t="s">
        <v>262</v>
      </c>
      <c r="B233" s="2" t="s">
        <v>18</v>
      </c>
      <c r="C233" s="2" t="s">
        <v>259</v>
      </c>
      <c r="D233" s="2" t="s">
        <v>263</v>
      </c>
      <c r="E233" s="3">
        <v>4060</v>
      </c>
    </row>
    <row r="234" spans="1:5" ht="20.100000000000001" customHeight="1">
      <c r="A234" s="6" t="s">
        <v>264</v>
      </c>
      <c r="B234" s="2" t="s">
        <v>22</v>
      </c>
      <c r="C234" s="2" t="s">
        <v>259</v>
      </c>
      <c r="D234" s="2" t="s">
        <v>259</v>
      </c>
      <c r="E234" s="107">
        <v>4049</v>
      </c>
    </row>
    <row r="235" spans="1:5" ht="20.100000000000001" customHeight="1">
      <c r="A235" s="6" t="s">
        <v>265</v>
      </c>
      <c r="B235" s="2" t="s">
        <v>46</v>
      </c>
      <c r="C235" s="2" t="s">
        <v>259</v>
      </c>
      <c r="D235" s="2" t="s">
        <v>261</v>
      </c>
      <c r="E235" s="61">
        <v>4059</v>
      </c>
    </row>
    <row r="236" spans="1:5" ht="20.100000000000001" customHeight="1">
      <c r="A236" s="6" t="s">
        <v>266</v>
      </c>
      <c r="B236" s="2" t="s">
        <v>22</v>
      </c>
      <c r="C236" s="2" t="s">
        <v>259</v>
      </c>
      <c r="D236" s="2" t="s">
        <v>263</v>
      </c>
      <c r="E236" s="66">
        <v>4313</v>
      </c>
    </row>
    <row r="237" spans="1:5" ht="20.100000000000001" customHeight="1">
      <c r="A237" s="6" t="s">
        <v>267</v>
      </c>
      <c r="B237" s="2" t="s">
        <v>57</v>
      </c>
      <c r="C237" s="2" t="s">
        <v>259</v>
      </c>
      <c r="D237" s="2" t="s">
        <v>268</v>
      </c>
      <c r="E237" s="3">
        <v>4079</v>
      </c>
    </row>
    <row r="238" spans="1:5" ht="20.100000000000001" customHeight="1">
      <c r="A238" s="6" t="s">
        <v>269</v>
      </c>
      <c r="B238" s="2" t="s">
        <v>22</v>
      </c>
      <c r="C238" s="2" t="s">
        <v>259</v>
      </c>
      <c r="D238" s="2" t="s">
        <v>268</v>
      </c>
      <c r="E238" s="108">
        <v>4053</v>
      </c>
    </row>
    <row r="239" spans="1:5" ht="20.100000000000001" customHeight="1">
      <c r="A239" s="6" t="s">
        <v>270</v>
      </c>
      <c r="B239" s="2" t="s">
        <v>46</v>
      </c>
      <c r="C239" s="2" t="s">
        <v>259</v>
      </c>
      <c r="D239" s="2" t="s">
        <v>263</v>
      </c>
      <c r="E239" s="108"/>
    </row>
    <row r="240" spans="1:5" ht="20.100000000000001" customHeight="1">
      <c r="A240" s="6" t="s">
        <v>271</v>
      </c>
      <c r="B240" s="104" t="s">
        <v>46</v>
      </c>
      <c r="C240" s="2" t="s">
        <v>259</v>
      </c>
      <c r="D240" s="2" t="s">
        <v>261</v>
      </c>
      <c r="E240" s="108"/>
    </row>
    <row r="241" spans="1:5" ht="20.100000000000001" customHeight="1">
      <c r="A241" s="6" t="s">
        <v>272</v>
      </c>
      <c r="B241" s="2" t="s">
        <v>120</v>
      </c>
      <c r="C241" s="2" t="s">
        <v>259</v>
      </c>
      <c r="D241" s="2" t="s">
        <v>263</v>
      </c>
      <c r="E241" s="61"/>
    </row>
    <row r="242" spans="1:5" ht="20.100000000000001" customHeight="1">
      <c r="A242" s="6" t="s">
        <v>273</v>
      </c>
      <c r="B242" s="2" t="s">
        <v>24</v>
      </c>
      <c r="C242" s="2" t="s">
        <v>259</v>
      </c>
      <c r="D242" s="2" t="s">
        <v>259</v>
      </c>
      <c r="E242" s="3">
        <v>4092</v>
      </c>
    </row>
    <row r="243" spans="1:5" ht="20.100000000000001" customHeight="1">
      <c r="A243" s="6" t="s">
        <v>274</v>
      </c>
      <c r="B243" s="2" t="s">
        <v>24</v>
      </c>
      <c r="C243" s="2" t="s">
        <v>259</v>
      </c>
      <c r="D243" s="2" t="s">
        <v>263</v>
      </c>
      <c r="E243" s="62">
        <v>4103</v>
      </c>
    </row>
    <row r="244" spans="1:5" s="86" customFormat="1" ht="20.100000000000001" customHeight="1">
      <c r="A244" s="82" t="s">
        <v>275</v>
      </c>
      <c r="B244" s="84" t="s">
        <v>24</v>
      </c>
      <c r="C244" s="84" t="s">
        <v>259</v>
      </c>
      <c r="D244" s="84" t="s">
        <v>261</v>
      </c>
      <c r="E244" s="83">
        <v>4080</v>
      </c>
    </row>
    <row r="245" spans="1:5" s="86" customFormat="1" ht="20.100000000000001" customHeight="1">
      <c r="A245" s="82" t="s">
        <v>276</v>
      </c>
      <c r="B245" s="84" t="s">
        <v>32</v>
      </c>
      <c r="C245" s="84" t="s">
        <v>259</v>
      </c>
      <c r="D245" s="84" t="s">
        <v>263</v>
      </c>
      <c r="E245" s="84"/>
    </row>
    <row r="246" spans="1:5" s="86" customFormat="1" ht="20.100000000000001" customHeight="1">
      <c r="A246" s="82" t="s">
        <v>277</v>
      </c>
      <c r="B246" s="84" t="s">
        <v>32</v>
      </c>
      <c r="C246" s="84" t="s">
        <v>259</v>
      </c>
      <c r="D246" s="84" t="s">
        <v>263</v>
      </c>
      <c r="E246" s="83">
        <v>4039</v>
      </c>
    </row>
    <row r="247" spans="1:5" s="86" customFormat="1" ht="20.100000000000001" customHeight="1">
      <c r="A247" s="82" t="s">
        <v>278</v>
      </c>
      <c r="B247" s="84" t="s">
        <v>32</v>
      </c>
      <c r="C247" s="84" t="s">
        <v>259</v>
      </c>
      <c r="D247" s="84" t="s">
        <v>261</v>
      </c>
      <c r="E247" s="85">
        <v>4088</v>
      </c>
    </row>
    <row r="248" spans="1:5" s="86" customFormat="1" ht="20.100000000000001" customHeight="1">
      <c r="A248" s="82" t="s">
        <v>279</v>
      </c>
      <c r="B248" s="84" t="s">
        <v>32</v>
      </c>
      <c r="C248" s="84" t="s">
        <v>259</v>
      </c>
      <c r="D248" s="84" t="s">
        <v>261</v>
      </c>
      <c r="E248" s="84">
        <v>4084</v>
      </c>
    </row>
    <row r="249" spans="1:5" s="86" customFormat="1" ht="20.100000000000001" customHeight="1">
      <c r="A249" s="82" t="s">
        <v>280</v>
      </c>
      <c r="B249" s="84" t="s">
        <v>32</v>
      </c>
      <c r="C249" s="84" t="s">
        <v>259</v>
      </c>
      <c r="D249" s="84" t="s">
        <v>268</v>
      </c>
      <c r="E249" s="84">
        <v>4086</v>
      </c>
    </row>
    <row r="250" spans="1:5" ht="20.100000000000001" customHeight="1">
      <c r="A250" s="1"/>
      <c r="B250" s="4"/>
      <c r="C250" s="4"/>
      <c r="D250" s="4"/>
      <c r="E250" s="60"/>
    </row>
    <row r="251" spans="1:5" ht="20.100000000000001" customHeight="1">
      <c r="A251" s="57" t="s">
        <v>281</v>
      </c>
      <c r="B251" s="148"/>
      <c r="C251" s="148"/>
      <c r="D251" s="148"/>
      <c r="E251" s="149"/>
    </row>
    <row r="252" spans="1:5" ht="20.100000000000001" customHeight="1">
      <c r="A252" s="40" t="s">
        <v>1</v>
      </c>
      <c r="B252" s="41" t="s">
        <v>3</v>
      </c>
      <c r="C252" s="41" t="s">
        <v>4</v>
      </c>
      <c r="D252" s="41" t="s">
        <v>5</v>
      </c>
      <c r="E252" s="41" t="s">
        <v>6</v>
      </c>
    </row>
    <row r="253" spans="1:5" ht="20.100000000000001" customHeight="1">
      <c r="A253" s="6" t="s">
        <v>282</v>
      </c>
      <c r="B253" s="2" t="s">
        <v>22</v>
      </c>
      <c r="C253" s="2" t="s">
        <v>284</v>
      </c>
      <c r="D253" s="2" t="s">
        <v>284</v>
      </c>
      <c r="E253" s="3"/>
    </row>
    <row r="254" spans="1:5" ht="20.100000000000001" customHeight="1">
      <c r="A254" s="6" t="s">
        <v>285</v>
      </c>
      <c r="B254" s="2" t="s">
        <v>22</v>
      </c>
      <c r="C254" s="2" t="s">
        <v>284</v>
      </c>
      <c r="D254" s="2" t="s">
        <v>284</v>
      </c>
      <c r="E254" s="61"/>
    </row>
    <row r="255" spans="1:5" ht="20.100000000000001" customHeight="1">
      <c r="A255" s="6" t="s">
        <v>286</v>
      </c>
      <c r="B255" s="2" t="s">
        <v>46</v>
      </c>
      <c r="C255" s="2" t="s">
        <v>284</v>
      </c>
      <c r="D255" s="2" t="s">
        <v>284</v>
      </c>
      <c r="E255" s="3"/>
    </row>
    <row r="256" spans="1:5" ht="20.100000000000001" customHeight="1">
      <c r="A256" s="6" t="s">
        <v>287</v>
      </c>
      <c r="B256" s="2" t="s">
        <v>46</v>
      </c>
      <c r="C256" s="2" t="s">
        <v>284</v>
      </c>
      <c r="D256" s="2" t="s">
        <v>284</v>
      </c>
      <c r="E256" s="3"/>
    </row>
    <row r="257" spans="1:5" ht="20.100000000000001" customHeight="1">
      <c r="A257" s="6" t="s">
        <v>288</v>
      </c>
      <c r="B257" s="2" t="s">
        <v>46</v>
      </c>
      <c r="C257" s="2" t="s">
        <v>284</v>
      </c>
      <c r="D257" s="2" t="s">
        <v>284</v>
      </c>
      <c r="E257" s="61"/>
    </row>
    <row r="258" spans="1:5" ht="20.100000000000001" customHeight="1">
      <c r="A258" s="6" t="s">
        <v>289</v>
      </c>
      <c r="B258" s="2" t="s">
        <v>46</v>
      </c>
      <c r="C258" s="2" t="s">
        <v>284</v>
      </c>
      <c r="D258" s="2" t="s">
        <v>284</v>
      </c>
      <c r="E258" s="3"/>
    </row>
    <row r="259" spans="1:5" ht="20.100000000000001" customHeight="1">
      <c r="A259" s="6" t="s">
        <v>290</v>
      </c>
      <c r="B259" s="2" t="s">
        <v>46</v>
      </c>
      <c r="C259" s="2" t="s">
        <v>284</v>
      </c>
      <c r="D259" s="2" t="s">
        <v>284</v>
      </c>
      <c r="E259" s="61"/>
    </row>
    <row r="260" spans="1:5" ht="20.100000000000001" customHeight="1">
      <c r="A260" s="6" t="s">
        <v>291</v>
      </c>
      <c r="B260" s="2" t="s">
        <v>46</v>
      </c>
      <c r="C260" s="2" t="s">
        <v>284</v>
      </c>
      <c r="D260" s="2" t="s">
        <v>284</v>
      </c>
      <c r="E260" s="3"/>
    </row>
    <row r="261" spans="1:5" ht="20.100000000000001" customHeight="1">
      <c r="A261" s="6" t="s">
        <v>292</v>
      </c>
      <c r="B261" s="2" t="s">
        <v>57</v>
      </c>
      <c r="C261" s="2" t="s">
        <v>284</v>
      </c>
      <c r="D261" s="2" t="s">
        <v>284</v>
      </c>
      <c r="E261" s="3"/>
    </row>
    <row r="262" spans="1:5" ht="20.100000000000001" customHeight="1">
      <c r="A262" s="1" t="s">
        <v>13</v>
      </c>
      <c r="B262" s="4" t="s">
        <v>13</v>
      </c>
      <c r="C262" s="4" t="s">
        <v>13</v>
      </c>
      <c r="D262" s="4" t="s">
        <v>13</v>
      </c>
      <c r="E262" s="60"/>
    </row>
    <row r="263" spans="1:5" ht="20.100000000000001" customHeight="1">
      <c r="A263" s="64" t="s">
        <v>293</v>
      </c>
      <c r="B263" s="150"/>
      <c r="C263" s="150"/>
      <c r="D263" s="150"/>
      <c r="E263" s="151"/>
    </row>
    <row r="264" spans="1:5" ht="20.100000000000001" customHeight="1">
      <c r="A264" s="40" t="s">
        <v>1</v>
      </c>
      <c r="B264" s="41" t="s">
        <v>3</v>
      </c>
      <c r="C264" s="41" t="s">
        <v>4</v>
      </c>
      <c r="D264" s="41" t="s">
        <v>5</v>
      </c>
      <c r="E264" s="41" t="s">
        <v>6</v>
      </c>
    </row>
    <row r="265" spans="1:5" ht="20.100000000000001" customHeight="1">
      <c r="A265" s="6" t="s">
        <v>294</v>
      </c>
      <c r="B265" s="2" t="s">
        <v>22</v>
      </c>
      <c r="C265" s="2" t="s">
        <v>297</v>
      </c>
      <c r="D265" s="2" t="s">
        <v>296</v>
      </c>
      <c r="E265" s="3"/>
    </row>
    <row r="266" spans="1:5" ht="20.100000000000001" customHeight="1">
      <c r="A266" s="6" t="s">
        <v>298</v>
      </c>
      <c r="B266" s="2" t="s">
        <v>46</v>
      </c>
      <c r="C266" s="2" t="s">
        <v>297</v>
      </c>
      <c r="D266" s="2" t="s">
        <v>296</v>
      </c>
      <c r="E266" s="61"/>
    </row>
    <row r="267" spans="1:5" ht="20.100000000000001" customHeight="1">
      <c r="A267" s="6" t="s">
        <v>299</v>
      </c>
      <c r="B267" s="2" t="s">
        <v>46</v>
      </c>
      <c r="C267" s="2" t="s">
        <v>297</v>
      </c>
      <c r="D267" s="2" t="s">
        <v>296</v>
      </c>
      <c r="E267" s="3"/>
    </row>
    <row r="268" spans="1:5" ht="20.100000000000001" customHeight="1">
      <c r="A268" s="6" t="s">
        <v>300</v>
      </c>
      <c r="B268" s="2" t="s">
        <v>57</v>
      </c>
      <c r="C268" s="2" t="s">
        <v>297</v>
      </c>
      <c r="D268" s="2" t="s">
        <v>296</v>
      </c>
      <c r="E268" s="3"/>
    </row>
    <row r="269" spans="1:5" ht="20.100000000000001" customHeight="1">
      <c r="A269" s="6" t="s">
        <v>301</v>
      </c>
      <c r="B269" s="2" t="s">
        <v>57</v>
      </c>
      <c r="C269" s="2" t="s">
        <v>297</v>
      </c>
      <c r="D269" s="2" t="s">
        <v>296</v>
      </c>
      <c r="E269" s="61"/>
    </row>
    <row r="270" spans="1:5" ht="20.100000000000001" customHeight="1">
      <c r="A270" s="6" t="s">
        <v>302</v>
      </c>
      <c r="B270" s="103" t="s">
        <v>46</v>
      </c>
      <c r="C270" s="2" t="s">
        <v>297</v>
      </c>
      <c r="D270" s="2" t="s">
        <v>296</v>
      </c>
      <c r="E270" s="74"/>
    </row>
    <row r="271" spans="1:5" ht="20.100000000000001" customHeight="1">
      <c r="A271" s="1" t="s">
        <v>13</v>
      </c>
      <c r="B271" s="4" t="s">
        <v>13</v>
      </c>
      <c r="C271" s="4" t="s">
        <v>13</v>
      </c>
      <c r="D271" s="4" t="s">
        <v>13</v>
      </c>
      <c r="E271" s="4"/>
    </row>
    <row r="272" spans="1:5" ht="20.100000000000001" customHeight="1">
      <c r="A272" s="58" t="s">
        <v>303</v>
      </c>
      <c r="B272" s="152"/>
      <c r="C272" s="152"/>
      <c r="D272" s="152"/>
      <c r="E272" s="153"/>
    </row>
    <row r="273" spans="1:5" ht="20.100000000000001" customHeight="1">
      <c r="A273" s="40" t="s">
        <v>1</v>
      </c>
      <c r="B273" s="41" t="s">
        <v>3</v>
      </c>
      <c r="C273" s="41" t="s">
        <v>304</v>
      </c>
      <c r="D273" s="41" t="s">
        <v>5</v>
      </c>
      <c r="E273" s="41" t="s">
        <v>6</v>
      </c>
    </row>
    <row r="274" spans="1:5" ht="20.100000000000001" customHeight="1">
      <c r="A274" s="6" t="s">
        <v>305</v>
      </c>
      <c r="B274" s="2" t="s">
        <v>46</v>
      </c>
      <c r="C274" s="2" t="s">
        <v>306</v>
      </c>
      <c r="D274" s="2" t="s">
        <v>306</v>
      </c>
      <c r="E274" s="61"/>
    </row>
    <row r="275" spans="1:5" ht="20.100000000000001" customHeight="1">
      <c r="A275" s="6" t="s">
        <v>307</v>
      </c>
      <c r="B275" s="2" t="s">
        <v>46</v>
      </c>
      <c r="C275" s="2" t="s">
        <v>306</v>
      </c>
      <c r="D275" s="2" t="s">
        <v>306</v>
      </c>
      <c r="E275" s="3"/>
    </row>
    <row r="276" spans="1:5" ht="20.100000000000001" customHeight="1">
      <c r="A276" s="6" t="s">
        <v>308</v>
      </c>
      <c r="B276" s="2" t="s">
        <v>46</v>
      </c>
      <c r="C276" s="2" t="s">
        <v>306</v>
      </c>
      <c r="D276" s="2" t="s">
        <v>306</v>
      </c>
      <c r="E276" s="61"/>
    </row>
    <row r="277" spans="1:5" ht="20.100000000000001" customHeight="1">
      <c r="A277" s="6" t="s">
        <v>309</v>
      </c>
      <c r="B277" s="2" t="s">
        <v>46</v>
      </c>
      <c r="C277" s="2" t="s">
        <v>306</v>
      </c>
      <c r="D277" s="2" t="s">
        <v>306</v>
      </c>
      <c r="E277" s="3"/>
    </row>
    <row r="278" spans="1:5" ht="20.100000000000001" customHeight="1">
      <c r="A278" s="6" t="s">
        <v>310</v>
      </c>
      <c r="B278" s="2" t="s">
        <v>46</v>
      </c>
      <c r="C278" s="2" t="s">
        <v>306</v>
      </c>
      <c r="D278" s="2" t="s">
        <v>306</v>
      </c>
      <c r="E278" s="73"/>
    </row>
    <row r="279" spans="1:5" ht="20.100000000000001" customHeight="1">
      <c r="A279" s="6" t="s">
        <v>311</v>
      </c>
      <c r="B279" s="2" t="s">
        <v>22</v>
      </c>
      <c r="C279" s="2" t="s">
        <v>306</v>
      </c>
      <c r="D279" s="2" t="s">
        <v>306</v>
      </c>
      <c r="E279" s="74"/>
    </row>
    <row r="280" spans="1:5" ht="20.100000000000001" customHeight="1">
      <c r="A280" s="1" t="s">
        <v>13</v>
      </c>
      <c r="B280" s="4" t="s">
        <v>13</v>
      </c>
      <c r="C280" s="4" t="s">
        <v>13</v>
      </c>
      <c r="D280" s="4" t="s">
        <v>13</v>
      </c>
      <c r="E280" s="60"/>
    </row>
    <row r="281" spans="1:5" ht="19.5" customHeight="1">
      <c r="A281" s="65" t="s">
        <v>312</v>
      </c>
      <c r="B281" s="117"/>
      <c r="C281" s="117"/>
      <c r="D281" s="117"/>
      <c r="E281" s="118"/>
    </row>
    <row r="282" spans="1:5" ht="19.5" customHeight="1">
      <c r="A282" s="40" t="s">
        <v>1</v>
      </c>
      <c r="B282" s="41" t="s">
        <v>3</v>
      </c>
      <c r="C282" s="41" t="s">
        <v>304</v>
      </c>
      <c r="D282" s="41" t="s">
        <v>5</v>
      </c>
      <c r="E282" s="41" t="s">
        <v>6</v>
      </c>
    </row>
    <row r="283" spans="1:5" ht="19.5" customHeight="1">
      <c r="A283" s="115" t="s">
        <v>313</v>
      </c>
      <c r="B283" s="2" t="s">
        <v>57</v>
      </c>
      <c r="C283" s="2" t="s">
        <v>259</v>
      </c>
      <c r="D283" s="2" t="s">
        <v>261</v>
      </c>
      <c r="E283" s="66"/>
    </row>
    <row r="284" spans="1:5" ht="19.5" customHeight="1">
      <c r="A284" s="6"/>
      <c r="B284" s="2"/>
      <c r="C284" s="2"/>
      <c r="D284" s="2"/>
      <c r="E284" s="81"/>
    </row>
    <row r="285" spans="1:5">
      <c r="A285" s="111"/>
      <c r="B285" s="109"/>
      <c r="C285" s="109"/>
      <c r="D285" s="109"/>
      <c r="E285" s="110"/>
    </row>
    <row r="286" spans="1:5" ht="18">
      <c r="A286" s="65" t="s">
        <v>315</v>
      </c>
      <c r="B286" s="117"/>
      <c r="C286" s="117"/>
      <c r="D286" s="117"/>
      <c r="E286" s="118"/>
    </row>
    <row r="287" spans="1:5" ht="18.75" customHeight="1">
      <c r="A287" s="40" t="s">
        <v>1</v>
      </c>
      <c r="B287" s="41" t="s">
        <v>3</v>
      </c>
      <c r="C287" s="41" t="s">
        <v>304</v>
      </c>
      <c r="D287" s="41" t="s">
        <v>5</v>
      </c>
      <c r="E287" s="41" t="s">
        <v>6</v>
      </c>
    </row>
    <row r="288" spans="1:5" ht="16.5" customHeight="1">
      <c r="A288" s="113" t="s">
        <v>316</v>
      </c>
      <c r="B288" s="79"/>
      <c r="C288" s="79" t="s">
        <v>116</v>
      </c>
      <c r="D288" s="79" t="s">
        <v>139</v>
      </c>
      <c r="E288" s="114"/>
    </row>
    <row r="289" spans="1:5">
      <c r="A289" s="112"/>
      <c r="B289" s="80"/>
      <c r="C289" s="80"/>
      <c r="D289" s="80"/>
      <c r="E289" s="80"/>
    </row>
  </sheetData>
  <pageMargins left="0.75" right="0.75" top="1" bottom="1" header="0.5" footer="0.5"/>
  <pageSetup paperSize="9" scale="63" orientation="landscape" verticalDpi="599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3" sqref="C3"/>
    </sheetView>
  </sheetViews>
  <sheetFormatPr defaultRowHeight="14.25"/>
  <cols>
    <col min="1" max="1" width="53.375" bestFit="1" customWidth="1"/>
    <col min="2" max="2" width="9.5" customWidth="1"/>
    <col min="3" max="3" width="12.375" bestFit="1" customWidth="1"/>
  </cols>
  <sheetData>
    <row r="1" spans="1:3" ht="16.5" thickBot="1">
      <c r="A1" s="21" t="s">
        <v>317</v>
      </c>
      <c r="B1" s="22" t="s">
        <v>318</v>
      </c>
      <c r="C1" s="22" t="s">
        <v>319</v>
      </c>
    </row>
    <row r="2" spans="1:3" ht="16.5" thickBot="1">
      <c r="A2" s="23" t="s">
        <v>0</v>
      </c>
      <c r="B2" s="33" t="s">
        <v>10</v>
      </c>
      <c r="C2" s="24">
        <f>COUNTIF('Força de Trabalho - AEB'!C:C,B2)</f>
        <v>3</v>
      </c>
    </row>
    <row r="3" spans="1:3" ht="16.5" thickBot="1">
      <c r="A3" s="25" t="s">
        <v>50</v>
      </c>
      <c r="B3" s="34" t="s">
        <v>53</v>
      </c>
      <c r="C3" s="26">
        <f>COUNTIF('Força de Trabalho - AEB'!C:C,B3)</f>
        <v>12</v>
      </c>
    </row>
    <row r="4" spans="1:3" ht="16.5" thickBot="1">
      <c r="A4" s="27" t="s">
        <v>66</v>
      </c>
      <c r="B4" s="35" t="s">
        <v>68</v>
      </c>
      <c r="C4" s="28">
        <f>COUNTIF('Força de Trabalho - AEB'!C:C,B4)</f>
        <v>0</v>
      </c>
    </row>
    <row r="5" spans="1:3" ht="16.5" thickBot="1">
      <c r="A5" s="25" t="s">
        <v>70</v>
      </c>
      <c r="B5" s="34" t="s">
        <v>73</v>
      </c>
      <c r="C5" s="26">
        <f>COUNTIF('Força de Trabalho - AEB'!C:C,B5)</f>
        <v>12</v>
      </c>
    </row>
    <row r="6" spans="1:3" ht="16.5" thickBot="1">
      <c r="A6" s="27" t="s">
        <v>97</v>
      </c>
      <c r="B6" s="35" t="s">
        <v>99</v>
      </c>
      <c r="C6" s="28">
        <f>COUNTIF('Força de Trabalho - AEB'!C:C,B6)</f>
        <v>6</v>
      </c>
    </row>
    <row r="7" spans="1:3" ht="16.5" thickBot="1">
      <c r="A7" s="25" t="s">
        <v>89</v>
      </c>
      <c r="B7" s="34" t="s">
        <v>93</v>
      </c>
      <c r="C7" s="26">
        <f>COUNTIF('Força de Trabalho - AEB'!C:C,B7)</f>
        <v>4</v>
      </c>
    </row>
    <row r="8" spans="1:3" ht="16.5" thickBot="1">
      <c r="A8" s="27" t="s">
        <v>105</v>
      </c>
      <c r="B8" s="35" t="s">
        <v>109</v>
      </c>
      <c r="C8" s="28">
        <f>COUNTIF('Força de Trabalho - AEB'!C:C,B8)</f>
        <v>3</v>
      </c>
    </row>
    <row r="9" spans="1:3" ht="16.5" thickBot="1">
      <c r="A9" s="25" t="s">
        <v>112</v>
      </c>
      <c r="B9" s="34" t="s">
        <v>116</v>
      </c>
      <c r="C9" s="26">
        <v>76</v>
      </c>
    </row>
    <row r="10" spans="1:3" ht="16.5" thickBot="1">
      <c r="A10" s="27" t="s">
        <v>320</v>
      </c>
      <c r="B10" s="35" t="s">
        <v>212</v>
      </c>
      <c r="C10" s="28">
        <f>COUNTIF('Força de Trabalho - AEB'!C:C,B10)</f>
        <v>19</v>
      </c>
    </row>
    <row r="11" spans="1:3" ht="16.5" thickBot="1">
      <c r="A11" s="25" t="s">
        <v>234</v>
      </c>
      <c r="B11" s="34" t="s">
        <v>236</v>
      </c>
      <c r="C11" s="26">
        <f>COUNTIF('Força de Trabalho - AEB'!C:C,B11)</f>
        <v>17</v>
      </c>
    </row>
    <row r="12" spans="1:3" ht="16.5" thickBot="1">
      <c r="A12" s="27" t="s">
        <v>321</v>
      </c>
      <c r="B12" s="35" t="s">
        <v>259</v>
      </c>
      <c r="C12" s="28">
        <f>COUNTIF('Força de Trabalho - AEB'!C:C,B12)</f>
        <v>20</v>
      </c>
    </row>
    <row r="13" spans="1:3" ht="16.5" thickBot="1">
      <c r="A13" s="25" t="s">
        <v>15</v>
      </c>
      <c r="B13" s="34" t="s">
        <v>19</v>
      </c>
      <c r="C13" s="26">
        <f>COUNTIF('Força de Trabalho - AEB'!C:C,B13)</f>
        <v>8</v>
      </c>
    </row>
    <row r="14" spans="1:3" ht="16.5" thickBot="1">
      <c r="A14" s="27" t="s">
        <v>33</v>
      </c>
      <c r="B14" s="35" t="s">
        <v>35</v>
      </c>
      <c r="C14" s="28">
        <f>COUNTIF('Força de Trabalho - AEB'!C:C,B14)</f>
        <v>7</v>
      </c>
    </row>
    <row r="15" spans="1:3" ht="16.5" thickBot="1">
      <c r="A15" s="25" t="s">
        <v>42</v>
      </c>
      <c r="B15" s="34" t="s">
        <v>44</v>
      </c>
      <c r="C15" s="26">
        <f>COUNTIF('Força de Trabalho - AEB'!C:C,B15)</f>
        <v>5</v>
      </c>
    </row>
    <row r="16" spans="1:3" ht="16.5" thickBot="1">
      <c r="A16" s="29" t="s">
        <v>322</v>
      </c>
      <c r="B16" s="35" t="s">
        <v>322</v>
      </c>
      <c r="C16" s="30">
        <f>SUM(C2:C15)</f>
        <v>192</v>
      </c>
    </row>
  </sheetData>
  <pageMargins left="0.511811024" right="0.511811024" top="0.78740157499999996" bottom="0.78740157499999996" header="0.31496062000000002" footer="0.31496062000000002"/>
  <pageSetup paperSize="9" orientation="portrait" verticalDpi="599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J14" sqref="J14"/>
    </sheetView>
  </sheetViews>
  <sheetFormatPr defaultRowHeight="14.25"/>
  <cols>
    <col min="1" max="1" width="42.25" bestFit="1" customWidth="1"/>
    <col min="2" max="2" width="30.875" customWidth="1"/>
    <col min="3" max="3" width="23.25" customWidth="1"/>
  </cols>
  <sheetData>
    <row r="1" spans="1:3" ht="71.25" customHeight="1">
      <c r="A1" s="162" t="s">
        <v>323</v>
      </c>
      <c r="B1" s="163"/>
      <c r="C1" s="163"/>
    </row>
    <row r="2" spans="1:3" ht="21.75" customHeight="1">
      <c r="A2" s="15" t="s">
        <v>324</v>
      </c>
      <c r="B2" s="15" t="s">
        <v>2</v>
      </c>
      <c r="C2" s="15" t="s">
        <v>325</v>
      </c>
    </row>
    <row r="3" spans="1:3">
      <c r="A3" s="16" t="s">
        <v>282</v>
      </c>
      <c r="B3" s="16" t="s">
        <v>283</v>
      </c>
      <c r="C3" s="17" t="s">
        <v>326</v>
      </c>
    </row>
    <row r="4" spans="1:3">
      <c r="A4" s="16" t="s">
        <v>285</v>
      </c>
      <c r="B4" s="16" t="s">
        <v>283</v>
      </c>
      <c r="C4" s="17" t="s">
        <v>327</v>
      </c>
    </row>
    <row r="5" spans="1:3">
      <c r="A5" s="16" t="s">
        <v>309</v>
      </c>
      <c r="B5" s="16" t="s">
        <v>283</v>
      </c>
      <c r="C5" s="17" t="s">
        <v>328</v>
      </c>
    </row>
    <row r="6" spans="1:3">
      <c r="A6" s="16" t="s">
        <v>286</v>
      </c>
      <c r="B6" s="16" t="s">
        <v>283</v>
      </c>
      <c r="C6" s="17" t="s">
        <v>329</v>
      </c>
    </row>
    <row r="7" spans="1:3">
      <c r="A7" s="16" t="s">
        <v>330</v>
      </c>
      <c r="B7" s="16" t="s">
        <v>283</v>
      </c>
      <c r="C7" s="17"/>
    </row>
    <row r="8" spans="1:3">
      <c r="A8" s="16" t="s">
        <v>287</v>
      </c>
      <c r="B8" s="16" t="s">
        <v>283</v>
      </c>
      <c r="C8" s="17"/>
    </row>
    <row r="9" spans="1:3">
      <c r="A9" s="16" t="s">
        <v>288</v>
      </c>
      <c r="B9" s="16" t="s">
        <v>283</v>
      </c>
      <c r="C9" s="17" t="s">
        <v>331</v>
      </c>
    </row>
    <row r="10" spans="1:3">
      <c r="A10" s="16" t="s">
        <v>289</v>
      </c>
      <c r="B10" s="16" t="s">
        <v>283</v>
      </c>
      <c r="C10" s="17" t="s">
        <v>332</v>
      </c>
    </row>
    <row r="11" spans="1:3">
      <c r="A11" s="16" t="s">
        <v>290</v>
      </c>
      <c r="B11" s="16" t="s">
        <v>283</v>
      </c>
      <c r="C11" s="17" t="s">
        <v>333</v>
      </c>
    </row>
    <row r="12" spans="1:3">
      <c r="A12" s="16" t="s">
        <v>291</v>
      </c>
      <c r="B12" s="16" t="s">
        <v>283</v>
      </c>
      <c r="C12" s="17" t="s">
        <v>334</v>
      </c>
    </row>
    <row r="13" spans="1:3" ht="42.75">
      <c r="A13" s="16" t="s">
        <v>292</v>
      </c>
      <c r="B13" s="16" t="s">
        <v>283</v>
      </c>
      <c r="C13" s="17" t="s">
        <v>335</v>
      </c>
    </row>
    <row r="14" spans="1:3">
      <c r="A14" s="18" t="s">
        <v>294</v>
      </c>
      <c r="B14" s="18" t="s">
        <v>295</v>
      </c>
      <c r="C14" s="19" t="s">
        <v>336</v>
      </c>
    </row>
    <row r="15" spans="1:3" ht="85.5">
      <c r="A15" s="18" t="s">
        <v>298</v>
      </c>
      <c r="B15" s="18" t="s">
        <v>295</v>
      </c>
      <c r="C15" s="36" t="s">
        <v>337</v>
      </c>
    </row>
    <row r="16" spans="1:3">
      <c r="A16" s="18" t="s">
        <v>299</v>
      </c>
      <c r="B16" s="18" t="s">
        <v>295</v>
      </c>
      <c r="C16" s="20" t="s">
        <v>338</v>
      </c>
    </row>
    <row r="17" spans="1:3">
      <c r="A17" s="18" t="s">
        <v>313</v>
      </c>
      <c r="B17" s="18" t="s">
        <v>295</v>
      </c>
      <c r="C17" s="20" t="s">
        <v>339</v>
      </c>
    </row>
    <row r="18" spans="1:3">
      <c r="A18" s="18" t="s">
        <v>300</v>
      </c>
      <c r="B18" s="18" t="s">
        <v>295</v>
      </c>
      <c r="C18" s="20" t="s">
        <v>340</v>
      </c>
    </row>
    <row r="19" spans="1:3">
      <c r="A19" s="18" t="s">
        <v>301</v>
      </c>
      <c r="B19" s="18" t="s">
        <v>295</v>
      </c>
      <c r="C19" s="20" t="s">
        <v>341</v>
      </c>
    </row>
    <row r="20" spans="1:3">
      <c r="A20" s="16" t="s">
        <v>342</v>
      </c>
      <c r="B20" s="16" t="s">
        <v>343</v>
      </c>
      <c r="C20" s="17" t="s">
        <v>344</v>
      </c>
    </row>
    <row r="21" spans="1:3">
      <c r="A21" s="16" t="s">
        <v>307</v>
      </c>
      <c r="B21" s="16" t="s">
        <v>343</v>
      </c>
      <c r="C21" s="17" t="s">
        <v>345</v>
      </c>
    </row>
    <row r="22" spans="1:3">
      <c r="A22" s="16" t="s">
        <v>308</v>
      </c>
      <c r="B22" s="16" t="s">
        <v>343</v>
      </c>
      <c r="C22" s="17" t="s">
        <v>346</v>
      </c>
    </row>
  </sheetData>
  <autoFilter ref="A2:C2"/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topLeftCell="A15" workbookViewId="0">
      <selection activeCell="I16" sqref="I16"/>
    </sheetView>
  </sheetViews>
  <sheetFormatPr defaultRowHeight="14.25"/>
  <cols>
    <col min="1" max="1" width="41.125" style="32" customWidth="1"/>
    <col min="2" max="2" width="16.5" style="32" customWidth="1"/>
    <col min="3" max="16384" width="9" style="32"/>
  </cols>
  <sheetData>
    <row r="1" spans="1:2" ht="58.5" customHeight="1">
      <c r="A1" s="164" t="s">
        <v>347</v>
      </c>
      <c r="B1" s="164"/>
    </row>
    <row r="2" spans="1:2" ht="15">
      <c r="A2" s="5" t="s">
        <v>1</v>
      </c>
      <c r="B2" s="31" t="s">
        <v>2</v>
      </c>
    </row>
    <row r="3" spans="1:2">
      <c r="A3" s="6" t="s">
        <v>311</v>
      </c>
      <c r="B3" s="2" t="s">
        <v>21</v>
      </c>
    </row>
    <row r="4" spans="1:2">
      <c r="A4" s="6" t="s">
        <v>34</v>
      </c>
      <c r="B4" s="2" t="s">
        <v>21</v>
      </c>
    </row>
    <row r="5" spans="1:2">
      <c r="A5" s="6" t="s">
        <v>101</v>
      </c>
      <c r="B5" s="2" t="s">
        <v>17</v>
      </c>
    </row>
    <row r="6" spans="1:2">
      <c r="A6" s="6" t="s">
        <v>267</v>
      </c>
      <c r="B6" s="2" t="s">
        <v>21</v>
      </c>
    </row>
    <row r="7" spans="1:2">
      <c r="A7" s="6" t="s">
        <v>43</v>
      </c>
      <c r="B7" s="2" t="s">
        <v>21</v>
      </c>
    </row>
    <row r="8" spans="1:2">
      <c r="A8" s="6" t="s">
        <v>260</v>
      </c>
      <c r="B8" s="2" t="s">
        <v>21</v>
      </c>
    </row>
    <row r="9" spans="1:2">
      <c r="A9" s="6" t="s">
        <v>348</v>
      </c>
      <c r="B9" s="2" t="s">
        <v>17</v>
      </c>
    </row>
    <row r="10" spans="1:2">
      <c r="A10" s="6" t="s">
        <v>349</v>
      </c>
      <c r="B10" s="2" t="s">
        <v>17</v>
      </c>
    </row>
    <row r="11" spans="1:2">
      <c r="A11" s="6" t="s">
        <v>125</v>
      </c>
      <c r="B11" s="2" t="s">
        <v>21</v>
      </c>
    </row>
    <row r="12" spans="1:2">
      <c r="A12" s="6" t="s">
        <v>265</v>
      </c>
      <c r="B12" s="2" t="s">
        <v>21</v>
      </c>
    </row>
    <row r="13" spans="1:2">
      <c r="A13" s="6" t="s">
        <v>118</v>
      </c>
      <c r="B13" s="2" t="s">
        <v>17</v>
      </c>
    </row>
    <row r="14" spans="1:2">
      <c r="A14" s="6" t="s">
        <v>237</v>
      </c>
      <c r="B14" s="2" t="s">
        <v>21</v>
      </c>
    </row>
    <row r="15" spans="1:2">
      <c r="A15" s="6" t="s">
        <v>302</v>
      </c>
      <c r="B15" s="2" t="s">
        <v>314</v>
      </c>
    </row>
    <row r="16" spans="1:2">
      <c r="A16" s="6" t="s">
        <v>140</v>
      </c>
      <c r="B16" s="2" t="s">
        <v>17</v>
      </c>
    </row>
    <row r="17" spans="1:2">
      <c r="A17" s="6" t="s">
        <v>156</v>
      </c>
      <c r="B17" s="2" t="s">
        <v>21</v>
      </c>
    </row>
    <row r="18" spans="1:2">
      <c r="A18" s="6" t="s">
        <v>172</v>
      </c>
      <c r="B18" s="2" t="s">
        <v>17</v>
      </c>
    </row>
    <row r="19" spans="1:2">
      <c r="A19" s="6" t="s">
        <v>350</v>
      </c>
      <c r="B19" s="2" t="s">
        <v>17</v>
      </c>
    </row>
    <row r="20" spans="1:2">
      <c r="A20" s="6" t="s">
        <v>16</v>
      </c>
      <c r="B20" s="2" t="s">
        <v>17</v>
      </c>
    </row>
    <row r="21" spans="1:2">
      <c r="A21" s="6" t="s">
        <v>264</v>
      </c>
      <c r="B21" s="2" t="s">
        <v>17</v>
      </c>
    </row>
    <row r="22" spans="1:2">
      <c r="A22" s="6" t="s">
        <v>174</v>
      </c>
      <c r="B22" s="2" t="s">
        <v>21</v>
      </c>
    </row>
    <row r="23" spans="1:2">
      <c r="A23" s="6" t="s">
        <v>63</v>
      </c>
      <c r="B23" s="2" t="s">
        <v>17</v>
      </c>
    </row>
    <row r="24" spans="1:2">
      <c r="A24" s="6" t="s">
        <v>217</v>
      </c>
      <c r="B24" s="2" t="s">
        <v>142</v>
      </c>
    </row>
    <row r="25" spans="1:2">
      <c r="A25" s="6" t="s">
        <v>239</v>
      </c>
      <c r="B25" s="2" t="s">
        <v>21</v>
      </c>
    </row>
    <row r="26" spans="1:2">
      <c r="A26" s="6" t="s">
        <v>241</v>
      </c>
      <c r="B26" s="2" t="s">
        <v>21</v>
      </c>
    </row>
    <row r="27" spans="1:2">
      <c r="A27" s="6" t="s">
        <v>67</v>
      </c>
      <c r="B27" s="2" t="s">
        <v>17</v>
      </c>
    </row>
    <row r="28" spans="1:2">
      <c r="A28" s="6" t="s">
        <v>215</v>
      </c>
      <c r="B28" s="2" t="s">
        <v>21</v>
      </c>
    </row>
    <row r="29" spans="1:2">
      <c r="A29" s="6" t="s">
        <v>119</v>
      </c>
      <c r="B29" s="2" t="s">
        <v>114</v>
      </c>
    </row>
    <row r="30" spans="1:2">
      <c r="A30" s="6" t="s">
        <v>132</v>
      </c>
      <c r="B30" s="2" t="s">
        <v>17</v>
      </c>
    </row>
    <row r="31" spans="1:2">
      <c r="A31" s="6" t="s">
        <v>175</v>
      </c>
      <c r="B31" s="2" t="s">
        <v>21</v>
      </c>
    </row>
    <row r="32" spans="1:2">
      <c r="A32" s="6" t="s">
        <v>351</v>
      </c>
      <c r="B32" s="2" t="s">
        <v>21</v>
      </c>
    </row>
    <row r="33" spans="1:2">
      <c r="A33" s="6" t="s">
        <v>352</v>
      </c>
      <c r="B33" s="2" t="s">
        <v>17</v>
      </c>
    </row>
    <row r="34" spans="1:2">
      <c r="A34" s="6" t="s">
        <v>131</v>
      </c>
      <c r="B34" s="2" t="s">
        <v>21</v>
      </c>
    </row>
    <row r="35" spans="1:2">
      <c r="A35" s="6" t="s">
        <v>94</v>
      </c>
      <c r="B35" s="2" t="s">
        <v>91</v>
      </c>
    </row>
    <row r="36" spans="1:2">
      <c r="A36" s="6" t="s">
        <v>90</v>
      </c>
      <c r="B36" s="2" t="s">
        <v>91</v>
      </c>
    </row>
    <row r="37" spans="1:2">
      <c r="A37" s="6" t="s">
        <v>222</v>
      </c>
      <c r="B37" s="2" t="s">
        <v>21</v>
      </c>
    </row>
    <row r="38" spans="1:2">
      <c r="A38" s="6" t="s">
        <v>266</v>
      </c>
      <c r="B38" s="2" t="s">
        <v>21</v>
      </c>
    </row>
    <row r="39" spans="1:2">
      <c r="A39" s="6" t="s">
        <v>54</v>
      </c>
      <c r="B39" s="2" t="s">
        <v>21</v>
      </c>
    </row>
    <row r="40" spans="1:2">
      <c r="A40" s="6" t="s">
        <v>353</v>
      </c>
      <c r="B40" s="2" t="s">
        <v>21</v>
      </c>
    </row>
    <row r="41" spans="1:2">
      <c r="A41" s="6" t="s">
        <v>47</v>
      </c>
      <c r="B41" s="2" t="s">
        <v>314</v>
      </c>
    </row>
    <row r="42" spans="1:2">
      <c r="A42" s="6" t="s">
        <v>354</v>
      </c>
      <c r="B42" s="2" t="s">
        <v>17</v>
      </c>
    </row>
    <row r="43" spans="1:2">
      <c r="A43" s="6" t="s">
        <v>355</v>
      </c>
      <c r="B43" s="2" t="s">
        <v>17</v>
      </c>
    </row>
    <row r="44" spans="1:2">
      <c r="A44" s="6" t="s">
        <v>245</v>
      </c>
      <c r="B44" s="2" t="s">
        <v>17</v>
      </c>
    </row>
    <row r="45" spans="1:2">
      <c r="A45" s="6" t="s">
        <v>246</v>
      </c>
      <c r="B45" s="2" t="s">
        <v>21</v>
      </c>
    </row>
    <row r="46" spans="1:2">
      <c r="A46" s="6" t="s">
        <v>262</v>
      </c>
      <c r="B46" s="2" t="s">
        <v>8</v>
      </c>
    </row>
    <row r="47" spans="1:2">
      <c r="A47" s="6" t="s">
        <v>51</v>
      </c>
      <c r="B47" s="2" t="s">
        <v>17</v>
      </c>
    </row>
    <row r="48" spans="1:2">
      <c r="A48" s="6" t="s">
        <v>74</v>
      </c>
      <c r="B48" s="2" t="s">
        <v>75</v>
      </c>
    </row>
    <row r="49" spans="1:2">
      <c r="A49" s="6" t="s">
        <v>133</v>
      </c>
      <c r="B49" s="2" t="s">
        <v>114</v>
      </c>
    </row>
    <row r="50" spans="1:2">
      <c r="A50" s="6" t="s">
        <v>98</v>
      </c>
      <c r="B50" s="2" t="s">
        <v>8</v>
      </c>
    </row>
    <row r="51" spans="1:2">
      <c r="A51" s="6" t="s">
        <v>213</v>
      </c>
      <c r="B51" s="2" t="s">
        <v>21</v>
      </c>
    </row>
    <row r="52" spans="1:2">
      <c r="A52" s="6" t="s">
        <v>7</v>
      </c>
      <c r="B52" s="2" t="s">
        <v>8</v>
      </c>
    </row>
    <row r="53" spans="1:2">
      <c r="A53" s="6" t="s">
        <v>356</v>
      </c>
      <c r="B53" s="2" t="s">
        <v>17</v>
      </c>
    </row>
    <row r="54" spans="1:2">
      <c r="A54" s="6" t="s">
        <v>45</v>
      </c>
      <c r="B54" s="2" t="s">
        <v>8</v>
      </c>
    </row>
    <row r="55" spans="1:2">
      <c r="A55" s="6" t="s">
        <v>247</v>
      </c>
      <c r="B55" s="2" t="s">
        <v>21</v>
      </c>
    </row>
    <row r="56" spans="1:2">
      <c r="A56" s="6" t="s">
        <v>219</v>
      </c>
      <c r="B56" s="2" t="s">
        <v>17</v>
      </c>
    </row>
    <row r="57" spans="1:2">
      <c r="A57" s="6" t="s">
        <v>257</v>
      </c>
      <c r="B57" s="2" t="s">
        <v>258</v>
      </c>
    </row>
    <row r="58" spans="1:2">
      <c r="A58" s="6" t="s">
        <v>127</v>
      </c>
      <c r="B58" s="2" t="s">
        <v>21</v>
      </c>
    </row>
    <row r="59" spans="1:2">
      <c r="A59" s="6" t="s">
        <v>220</v>
      </c>
      <c r="B59" s="2" t="s">
        <v>21</v>
      </c>
    </row>
    <row r="60" spans="1:2">
      <c r="A60" s="6" t="s">
        <v>56</v>
      </c>
      <c r="B60" s="2" t="s">
        <v>21</v>
      </c>
    </row>
    <row r="61" spans="1:2">
      <c r="A61" s="6" t="s">
        <v>129</v>
      </c>
      <c r="B61" s="2" t="s">
        <v>130</v>
      </c>
    </row>
    <row r="62" spans="1:2">
      <c r="A62" s="6" t="s">
        <v>357</v>
      </c>
      <c r="B62" s="2" t="s">
        <v>107</v>
      </c>
    </row>
    <row r="63" spans="1:2">
      <c r="A63" s="6" t="s">
        <v>159</v>
      </c>
      <c r="B63" s="2" t="s">
        <v>21</v>
      </c>
    </row>
    <row r="64" spans="1:2">
      <c r="A64" s="6" t="s">
        <v>235</v>
      </c>
      <c r="B64" s="2" t="s">
        <v>21</v>
      </c>
    </row>
    <row r="65" spans="1:2">
      <c r="A65" s="6" t="s">
        <v>211</v>
      </c>
      <c r="B65" s="2" t="s">
        <v>130</v>
      </c>
    </row>
    <row r="66" spans="1:2">
      <c r="A66" s="6" t="s">
        <v>59</v>
      </c>
      <c r="B66" s="2" t="s">
        <v>21</v>
      </c>
    </row>
    <row r="67" spans="1:2">
      <c r="A67" s="6" t="s">
        <v>221</v>
      </c>
      <c r="B67" s="2" t="s">
        <v>21</v>
      </c>
    </row>
    <row r="68" spans="1:2">
      <c r="A68" s="6" t="s">
        <v>173</v>
      </c>
      <c r="B68" s="2" t="s">
        <v>114</v>
      </c>
    </row>
    <row r="69" spans="1:2">
      <c r="A69" s="6" t="s">
        <v>77</v>
      </c>
      <c r="B69" s="2" t="s">
        <v>17</v>
      </c>
    </row>
    <row r="70" spans="1:2">
      <c r="A70" s="6" t="s">
        <v>169</v>
      </c>
      <c r="B70" s="2" t="s">
        <v>17</v>
      </c>
    </row>
    <row r="71" spans="1:2">
      <c r="A71" s="6" t="s">
        <v>113</v>
      </c>
      <c r="B71" s="2" t="s">
        <v>114</v>
      </c>
    </row>
    <row r="72" spans="1:2">
      <c r="A72" s="6" t="s">
        <v>154</v>
      </c>
      <c r="B72" s="2" t="s">
        <v>21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G4" sqref="G4"/>
    </sheetView>
  </sheetViews>
  <sheetFormatPr defaultRowHeight="14.25"/>
  <cols>
    <col min="1" max="1" width="40.75" bestFit="1" customWidth="1"/>
    <col min="2" max="2" width="26.375" customWidth="1"/>
  </cols>
  <sheetData>
    <row r="1" spans="1:2" ht="15.75" thickBot="1">
      <c r="A1" s="9" t="s">
        <v>312</v>
      </c>
      <c r="B1" s="10" t="s">
        <v>358</v>
      </c>
    </row>
    <row r="2" spans="1:2" ht="15" thickBot="1">
      <c r="A2" s="7" t="s">
        <v>302</v>
      </c>
      <c r="B2" s="11" t="s">
        <v>359</v>
      </c>
    </row>
    <row r="3" spans="1:2" ht="15" thickBot="1">
      <c r="A3" s="8" t="s">
        <v>47</v>
      </c>
      <c r="B3" s="12" t="s">
        <v>360</v>
      </c>
    </row>
    <row r="6" spans="1:2" ht="15.75" thickBot="1">
      <c r="A6" s="13" t="s">
        <v>361</v>
      </c>
      <c r="B6" s="14" t="s">
        <v>358</v>
      </c>
    </row>
    <row r="7" spans="1:2" ht="15" thickBot="1">
      <c r="A7" s="8" t="s">
        <v>246</v>
      </c>
      <c r="B7" s="12" t="s">
        <v>362</v>
      </c>
    </row>
    <row r="8" spans="1:2" ht="15" thickBot="1">
      <c r="A8" s="8" t="s">
        <v>351</v>
      </c>
      <c r="B8" s="12" t="s">
        <v>363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G21" sqref="G21"/>
    </sheetView>
  </sheetViews>
  <sheetFormatPr defaultRowHeight="14.25"/>
  <cols>
    <col min="1" max="1" width="24.625" bestFit="1" customWidth="1"/>
    <col min="2" max="2" width="10.25" customWidth="1"/>
  </cols>
  <sheetData>
    <row r="1" spans="1:4">
      <c r="A1" t="s">
        <v>364</v>
      </c>
      <c r="B1" t="s">
        <v>365</v>
      </c>
      <c r="C1" t="s">
        <v>366</v>
      </c>
      <c r="D1" t="s">
        <v>367</v>
      </c>
    </row>
    <row r="2" spans="1:4">
      <c r="A2" t="s">
        <v>46</v>
      </c>
      <c r="B2">
        <v>34</v>
      </c>
      <c r="C2">
        <v>20</v>
      </c>
      <c r="D2">
        <f>B2+C2</f>
        <v>54</v>
      </c>
    </row>
    <row r="3" spans="1:4">
      <c r="A3" t="s">
        <v>22</v>
      </c>
      <c r="B3">
        <v>31</v>
      </c>
      <c r="C3">
        <v>29</v>
      </c>
      <c r="D3">
        <f t="shared" ref="D3:D4" si="0">B3+C3</f>
        <v>60</v>
      </c>
    </row>
    <row r="4" spans="1:4">
      <c r="A4" t="s">
        <v>57</v>
      </c>
      <c r="B4">
        <v>13</v>
      </c>
      <c r="C4">
        <v>29</v>
      </c>
      <c r="D4">
        <f t="shared" si="0"/>
        <v>42</v>
      </c>
    </row>
    <row r="5" spans="1:4">
      <c r="D5">
        <f>D2+D3+D4</f>
        <v>156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C1CE3C52F5D444EBA7DB58AE8AFBB7A" ma:contentTypeVersion="3" ma:contentTypeDescription="Crie um novo documento." ma:contentTypeScope="" ma:versionID="4058376bfcea936a049f037020fa8bfa">
  <xsd:schema xmlns:xsd="http://www.w3.org/2001/XMLSchema" xmlns:xs="http://www.w3.org/2001/XMLSchema" xmlns:p="http://schemas.microsoft.com/office/2006/metadata/properties" xmlns:ns2="e8c29b40-bc22-4c61-b5a8-52394e9fb822" targetNamespace="http://schemas.microsoft.com/office/2006/metadata/properties" ma:root="true" ma:fieldsID="e2cbe58af328460a480e1a58efcd24ca" ns2:_="">
    <xsd:import namespace="e8c29b40-bc22-4c61-b5a8-52394e9fb8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c29b40-bc22-4c61-b5a8-52394e9fb8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F12019-1AAC-45E9-8E31-716359CF91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4E080D-B56D-4BA7-A78D-DCEAB12428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c29b40-bc22-4c61-b5a8-52394e9fb8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4D6E98-F3F6-420C-A996-73CD0537FBFA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58b74a75-003b-45bf-8f43-8133f61650e0}" enabled="0" method="" siteId="{58b74a75-003b-45bf-8f43-8133f61650e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Força de Trabalho - AEB</vt:lpstr>
      <vt:lpstr>Quantidade por área</vt:lpstr>
      <vt:lpstr>REQUISITADOS - CEDIDOS - MOVI.</vt:lpstr>
      <vt:lpstr>EFETIVOS E SEM VÍNCULO</vt:lpstr>
      <vt:lpstr>LICENÇAS</vt:lpstr>
      <vt:lpstr>Cargos vagos</vt:lpstr>
      <vt:lpstr>'Força de Trabalho - AEB'!Area_de_impressao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axlsx</dc:creator>
  <cp:keywords/>
  <dc:description/>
  <cp:lastModifiedBy>Gabriel Madureira de Jesus Silva</cp:lastModifiedBy>
  <cp:revision>0</cp:revision>
  <dcterms:created xsi:type="dcterms:W3CDTF">2024-08-15T12:44:27Z</dcterms:created>
  <dcterms:modified xsi:type="dcterms:W3CDTF">2026-05-14T18:11:54Z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0x0101006C1CE3C52F5D444EBA7DB58AE8AFBB7A</vt:lpwstr>
  </property>
</Properties>
</file>