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gabriel.silva\Desktop\"/>
    </mc:Choice>
  </mc:AlternateContent>
  <bookViews>
    <workbookView xWindow="0" yWindow="0" windowWidth="28800" windowHeight="11580"/>
  </bookViews>
  <sheets>
    <sheet name="Força de Trabalho - AEB" sheetId="1" r:id="rId1"/>
    <sheet name="Quantidade por área" sheetId="3" r:id="rId2"/>
    <sheet name="REQUISITADOS - CEDIDOS - MOVI." sheetId="4" r:id="rId3"/>
    <sheet name="EFETIVOS E SEM VÍNCULO" sheetId="6" r:id="rId4"/>
    <sheet name="LICENÇAS" sheetId="5" r:id="rId5"/>
    <sheet name="Cargos vagos" sheetId="7" r:id="rId6"/>
  </sheets>
  <definedNames>
    <definedName name="_xlnm._FilterDatabase" localSheetId="3" hidden="1">'EFETIVOS E SEM VÍNCULO'!$B$1:$B$72</definedName>
    <definedName name="_xlnm._FilterDatabase" localSheetId="0" hidden="1">'Força de Trabalho - AEB'!#REF!</definedName>
    <definedName name="_xlnm._FilterDatabase" localSheetId="2" hidden="1">'REQUISITADOS - CEDIDOS - MOVI.'!$A$2:$C$2</definedName>
    <definedName name="_xlnm.Print_Area" localSheetId="0">'Força de Trabalho - AEB'!$A$1:$D$279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2" i="7"/>
  <c r="D5" i="7" s="1"/>
  <c r="C2" i="3"/>
  <c r="C3" i="3"/>
  <c r="C4" i="3"/>
  <c r="C5" i="3"/>
  <c r="C6" i="3"/>
  <c r="C7" i="3"/>
  <c r="C8" i="3"/>
  <c r="C10" i="3"/>
  <c r="C11" i="3"/>
  <c r="C12" i="3"/>
  <c r="C13" i="3"/>
  <c r="C14" i="3"/>
  <c r="C15" i="3"/>
  <c r="C16" i="3" l="1"/>
</calcChain>
</file>

<file path=xl/sharedStrings.xml><?xml version="1.0" encoding="utf-8"?>
<sst xmlns="http://schemas.openxmlformats.org/spreadsheetml/2006/main" count="773" uniqueCount="198">
  <si>
    <t>Presidência - PRE</t>
  </si>
  <si>
    <t>Name</t>
  </si>
  <si>
    <t>Situação</t>
  </si>
  <si>
    <t>sigla Dir</t>
  </si>
  <si>
    <t>Sigla Coor</t>
  </si>
  <si>
    <t>Marco Antonio Chamon</t>
  </si>
  <si>
    <t>INPE</t>
  </si>
  <si>
    <t>PRE</t>
  </si>
  <si>
    <t/>
  </si>
  <si>
    <t>Unidade Regional de Alcântara - URMA</t>
  </si>
  <si>
    <t>Danielle Ferreira de Andrade</t>
  </si>
  <si>
    <t>S/ vinculo</t>
  </si>
  <si>
    <t>URMA</t>
  </si>
  <si>
    <t>Ativo</t>
  </si>
  <si>
    <t>Tecnologista</t>
  </si>
  <si>
    <t>Unidade Regional de Natal - URRN</t>
  </si>
  <si>
    <t>Adriana Elysa Alimandro Correa</t>
  </si>
  <si>
    <t>URRN</t>
  </si>
  <si>
    <t>Unidade Regional de São José dos Campos - URSJC</t>
  </si>
  <si>
    <t>Alexandre Macedo de Oliveira</t>
  </si>
  <si>
    <t>URSJC</t>
  </si>
  <si>
    <t>Mônica Elizabeth Rocha de Oliveira</t>
  </si>
  <si>
    <t>Analista em C&amp;T</t>
  </si>
  <si>
    <t>Juliano Raphael Simões de Souza</t>
  </si>
  <si>
    <t>Gabinete - GAB</t>
  </si>
  <si>
    <t>Leticia Vilani Morosino</t>
  </si>
  <si>
    <t>GAB</t>
  </si>
  <si>
    <t>João Sergio Beserra de Lima</t>
  </si>
  <si>
    <t>Priscila Hardman Rodrigues de Carvalho</t>
  </si>
  <si>
    <t>Assistente em C&amp;T</t>
  </si>
  <si>
    <t>Rose Maria do Nascimento</t>
  </si>
  <si>
    <t>Erik Busnello Imbuzeiro</t>
  </si>
  <si>
    <t>Ouvidoria - OUV</t>
  </si>
  <si>
    <t>Fernanda de Paula Lobo Nascimento</t>
  </si>
  <si>
    <t>OUV</t>
  </si>
  <si>
    <t>Assessoria de Relações Institucionais e Comunicação - ARI</t>
  </si>
  <si>
    <t>ARI</t>
  </si>
  <si>
    <t>Luciana Guedes Cotrim da Silva</t>
  </si>
  <si>
    <t>CODEVASF</t>
  </si>
  <si>
    <t>CCS</t>
  </si>
  <si>
    <t>Tânia Eduarda Baserra da Costa</t>
  </si>
  <si>
    <t>CRI</t>
  </si>
  <si>
    <t>Procuradoria Federal - PF</t>
  </si>
  <si>
    <t>Ian Grosner</t>
  </si>
  <si>
    <t>AGU</t>
  </si>
  <si>
    <t>PF</t>
  </si>
  <si>
    <t>Henrique Tróccoli Junior</t>
  </si>
  <si>
    <t>Assessoria de Cooperação Internacional - ACI</t>
  </si>
  <si>
    <t>Márcia Alvarenga dos Santos</t>
  </si>
  <si>
    <t>ACI</t>
  </si>
  <si>
    <t>Alan Jayme Veloso Freitas</t>
  </si>
  <si>
    <t>Auditoria Interna - AUDIN</t>
  </si>
  <si>
    <t>CGU</t>
  </si>
  <si>
    <t>AUDIN</t>
  </si>
  <si>
    <t>Diretoria de Planejamento, Orçamento e Administração - DPOA</t>
  </si>
  <si>
    <t>Vanessa Murta Rezende</t>
  </si>
  <si>
    <t>MCTI</t>
  </si>
  <si>
    <t>DPOA</t>
  </si>
  <si>
    <t>Carla Elisandra Camplo da Silva</t>
  </si>
  <si>
    <t>Fernando Silva de Souza</t>
  </si>
  <si>
    <t>Antonio Cristovão dos Santos</t>
  </si>
  <si>
    <t>COF</t>
  </si>
  <si>
    <t>Paulo Eduardo Rocha Pinto</t>
  </si>
  <si>
    <t>Renato José de Sousa</t>
  </si>
  <si>
    <t>S/ vinculo EF</t>
  </si>
  <si>
    <t>Gilmar de Sousa Silva</t>
  </si>
  <si>
    <t>Francisca Isilda de Brito Feitosa Souza</t>
  </si>
  <si>
    <t>Marcelo Rocha de Cerqueira</t>
  </si>
  <si>
    <t>CTI</t>
  </si>
  <si>
    <t>Chesllen da Silva Pereira</t>
  </si>
  <si>
    <t>MGI</t>
  </si>
  <si>
    <t>Wando Wellinton Pereira de Sá</t>
  </si>
  <si>
    <t>CGP</t>
  </si>
  <si>
    <t>Clayton Martins Silva</t>
  </si>
  <si>
    <t>Rodrigo Alves de Lima</t>
  </si>
  <si>
    <t>Valéria Sousa de Negreiros</t>
  </si>
  <si>
    <t>COAD</t>
  </si>
  <si>
    <t>Clemilton Pereira da Silva</t>
  </si>
  <si>
    <t>Sonia Maria Ferreira dos Santos</t>
  </si>
  <si>
    <t>Edivaldo Sousa Gonçalves</t>
  </si>
  <si>
    <t>Francisco de Carvalho Dias</t>
  </si>
  <si>
    <t> </t>
  </si>
  <si>
    <t>Rogério Luiz Veríssimo Cruz</t>
  </si>
  <si>
    <t>DGSE</t>
  </si>
  <si>
    <t>Marcio Akira Harada</t>
  </si>
  <si>
    <t>CMA</t>
  </si>
  <si>
    <t>Fernanda Lins Leal Uchôa de Lima</t>
  </si>
  <si>
    <t>CPP</t>
  </si>
  <si>
    <t>Fábio França Silva Araújo</t>
  </si>
  <si>
    <t>CEG</t>
  </si>
  <si>
    <t>Pamela Mayara Fernandes Nunes</t>
  </si>
  <si>
    <t>Paulo Estevão de Oliveira</t>
  </si>
  <si>
    <t>Simonny Valeria Soares</t>
  </si>
  <si>
    <t>Isaac Teles de Souza</t>
  </si>
  <si>
    <t>Diretoria de Gestão de Portifólio - DGEP</t>
  </si>
  <si>
    <t>Rodrigo Leonardi</t>
  </si>
  <si>
    <t>DGEP</t>
  </si>
  <si>
    <t>Carlos Eduardo Quintanilha Vaz de Oliveira</t>
  </si>
  <si>
    <t>CSS</t>
  </si>
  <si>
    <t>Fábio Rezende Prado dos Santos</t>
  </si>
  <si>
    <t>CVL</t>
  </si>
  <si>
    <t>Felipe Ferreira Fraga</t>
  </si>
  <si>
    <t>CSA</t>
  </si>
  <si>
    <t>Layanne Eleutério Santana Guimarães</t>
  </si>
  <si>
    <t>Leandro Ribeiro Reis</t>
  </si>
  <si>
    <t>Neil Medeiros</t>
  </si>
  <si>
    <t>Paolo Gessini</t>
  </si>
  <si>
    <t>UNB</t>
  </si>
  <si>
    <t>DIEN</t>
  </si>
  <si>
    <t>Aline Bessa Veloso</t>
  </si>
  <si>
    <t>CDT</t>
  </si>
  <si>
    <t>Leila Maria Garcia Fonseca</t>
  </si>
  <si>
    <t>CEN</t>
  </si>
  <si>
    <t>Danilo Sakay</t>
  </si>
  <si>
    <t>Aslei Andrade da Silva</t>
  </si>
  <si>
    <t>Jaime Augusto da Silva</t>
  </si>
  <si>
    <t>Alex Pereira da Cunha Borges</t>
  </si>
  <si>
    <t>CLC</t>
  </si>
  <si>
    <t>Felipe Pontes Guimarães</t>
  </si>
  <si>
    <t>Requisitado</t>
  </si>
  <si>
    <t>REQUISITADO</t>
  </si>
  <si>
    <t>Amélia Naomi Onohara</t>
  </si>
  <si>
    <t>Michele Cristina Silva Melo</t>
  </si>
  <si>
    <t>Patrícia Barcellos Pereira</t>
  </si>
  <si>
    <t>Thaís de Araújo Pedrosa</t>
  </si>
  <si>
    <t>Lúcia Helena Michels Freitas</t>
  </si>
  <si>
    <t>Cristiane Kazuko Torisu</t>
  </si>
  <si>
    <t>Renata Corrêa Ribeiro</t>
  </si>
  <si>
    <t>Ana Carolina Fuck Fullana</t>
  </si>
  <si>
    <t>Cristiano Augusto Trein</t>
  </si>
  <si>
    <t>Cedido</t>
  </si>
  <si>
    <t>Cedido (a)</t>
  </si>
  <si>
    <t>CEDIDO</t>
  </si>
  <si>
    <t>Fabiany Maria Made e Vellasco</t>
  </si>
  <si>
    <t>Henrique Fernandes Nascimento</t>
  </si>
  <si>
    <t>José Sérgio Marques dos Santos</t>
  </si>
  <si>
    <t>Renata Silva de Oliveira</t>
  </si>
  <si>
    <t>Carolina Pereira Pedroso</t>
  </si>
  <si>
    <t>Sigla Dir</t>
  </si>
  <si>
    <t>MOVIMENTADO</t>
  </si>
  <si>
    <t>Nádia Bandeira Sacenco Kornijezuk</t>
  </si>
  <si>
    <t>Jean Carlos Borges Brito</t>
  </si>
  <si>
    <t>Gabriel Salles Maria de Macedo Rego</t>
  </si>
  <si>
    <t>Ademir Luiz Xavier Junior</t>
  </si>
  <si>
    <t>Licença para Trato de Assuntos Particulares</t>
  </si>
  <si>
    <t>Danusa Pegoraro Szimanski</t>
  </si>
  <si>
    <t>Licença LTAP</t>
  </si>
  <si>
    <t>UNIDADE</t>
  </si>
  <si>
    <t>SICLA</t>
  </si>
  <si>
    <t>QUANTIDADE</t>
  </si>
  <si>
    <t>Diretoria e Governança do Setor Espacial - DGSE</t>
  </si>
  <si>
    <t>Diretoria de Novos Negócios - DIEN</t>
  </si>
  <si>
    <t>TOTAL</t>
  </si>
  <si>
    <t>EFETIVOS (AS) EM EXERCÍCIO EM OUTRO ÓRGÃO</t>
  </si>
  <si>
    <t>Servidores</t>
  </si>
  <si>
    <t>Processo</t>
  </si>
  <si>
    <t>01350.001012/2023-49</t>
  </si>
  <si>
    <t>01350.000826/2023-66</t>
  </si>
  <si>
    <t>01350.000602/2023-54</t>
  </si>
  <si>
    <t>01350.000466/2023-01</t>
  </si>
  <si>
    <t>Cristiano Elias Cardoso</t>
  </si>
  <si>
    <t>01350.000752/2023-68</t>
  </si>
  <si>
    <t>01350.000843/2023-01</t>
  </si>
  <si>
    <t>01350.000862/2023-20</t>
  </si>
  <si>
    <t>01350.000818/2023-10</t>
  </si>
  <si>
    <t>01350.001578/2020-28 01350.000248/2021-04 01350.000054/2023-62</t>
  </si>
  <si>
    <t>01350.000683/2023-92</t>
  </si>
  <si>
    <t>01350.001025/2019-31
01350.001402/2019-32
01350.000224/2019-22
01350.001025/2019-31
01350.002633/2019-63
01350.001010/2024-31</t>
  </si>
  <si>
    <t>01350.000711/2023-71</t>
  </si>
  <si>
    <t>01350.001150/2023-28</t>
  </si>
  <si>
    <t>01350.001353/2023-14</t>
  </si>
  <si>
    <t>01350.000136/2024-98</t>
  </si>
  <si>
    <t>Sílvia Maria Barros</t>
  </si>
  <si>
    <t>Movimentado</t>
  </si>
  <si>
    <t>01350.000420/2021-11</t>
  </si>
  <si>
    <t>01350.000741/2023-88</t>
  </si>
  <si>
    <t>01350.000016/2024-91</t>
  </si>
  <si>
    <t>SERVIDORES EFETIVOS E S/VÍNCULO NA SEDE DA AEB</t>
  </si>
  <si>
    <t>André Luis Barreto Paes</t>
  </si>
  <si>
    <t>Andreza Barros Oliveira</t>
  </si>
  <si>
    <t>Cristiano Queiroz Vilanova</t>
  </si>
  <si>
    <t>Gabriel Figueiró de Oliveira</t>
  </si>
  <si>
    <t>Geralda do Carmo de Oliveira</t>
  </si>
  <si>
    <t>Josival Lúcio de Sousa</t>
  </si>
  <si>
    <t>Kaio da Silva Pontes</t>
  </si>
  <si>
    <t>Kamilla Soares Carvalho</t>
  </si>
  <si>
    <t>Marcos Vinícius Almeida Cruvinel</t>
  </si>
  <si>
    <t>Roberto Carlos Andrade</t>
  </si>
  <si>
    <t>Processos</t>
  </si>
  <si>
    <t>01350.001038/2020-44</t>
  </si>
  <si>
    <t>01350.000006/2023-74</t>
  </si>
  <si>
    <t>Licença Capacitação</t>
  </si>
  <si>
    <t>01350.000772/2023-39</t>
  </si>
  <si>
    <t>01350.001111/2024-10</t>
  </si>
  <si>
    <t>Cargo</t>
  </si>
  <si>
    <t>Ocupado</t>
  </si>
  <si>
    <t>Vago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</si>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</sst>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Arial"/>
      <family val="1"/>
    </font>
    <font>
      <b/>
      <sz val="11"/>
      <color rgb="FF000000"/>
      <name val="Arial"/>
      <family val="1"/>
    </font>
    <font>
      <b/>
      <sz val="11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sz val="14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20"/>
      <color theme="0"/>
      <name val="Abadi"/>
      <family val="2"/>
    </font>
    <font>
      <sz val="11"/>
      <color theme="0"/>
      <name val="Arial"/>
      <family val="1"/>
    </font>
    <font>
      <sz val="11"/>
      <name val="Arial"/>
    </font>
  </fonts>
  <fills count="3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72A9B"/>
        <bgColor indexed="64"/>
      </patternFill>
    </fill>
    <fill>
      <patternFill patternType="solid">
        <fgColor rgb="FFA5D5ED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67D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E1F4FF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EFF9FF"/>
        <bgColor indexed="64"/>
      </patternFill>
    </fill>
    <fill>
      <patternFill patternType="solid">
        <fgColor rgb="FFFDEEE7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E2C4A6"/>
        <bgColor indexed="64"/>
      </patternFill>
    </fill>
    <fill>
      <patternFill patternType="solid">
        <fgColor rgb="FFFFCDD7"/>
        <bgColor indexed="64"/>
      </patternFill>
    </fill>
    <fill>
      <patternFill patternType="solid">
        <fgColor rgb="FFFFA7D3"/>
        <bgColor indexed="64"/>
      </patternFill>
    </fill>
    <fill>
      <patternFill patternType="solid">
        <fgColor rgb="FFFFEDB9"/>
        <bgColor indexed="64"/>
      </patternFill>
    </fill>
    <fill>
      <patternFill patternType="solid">
        <fgColor rgb="FFF9E7F7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5" fillId="7" borderId="1" xfId="0" applyFont="1" applyFill="1" applyBorder="1"/>
    <xf numFmtId="0" fontId="5" fillId="7" borderId="1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vertical="center"/>
    </xf>
    <xf numFmtId="0" fontId="10" fillId="9" borderId="5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vertical="center"/>
    </xf>
    <xf numFmtId="0" fontId="10" fillId="10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2" fillId="11" borderId="0" xfId="0" applyFont="1" applyFill="1"/>
    <xf numFmtId="0" fontId="10" fillId="9" borderId="5" xfId="0" applyFont="1" applyFill="1" applyBorder="1" applyAlignment="1">
      <alignment vertical="center"/>
    </xf>
    <xf numFmtId="0" fontId="10" fillId="10" borderId="5" xfId="0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5" fillId="7" borderId="1" xfId="0" applyFont="1" applyFill="1" applyBorder="1" applyAlignment="1">
      <alignment wrapText="1"/>
    </xf>
    <xf numFmtId="0" fontId="5" fillId="11" borderId="0" xfId="0" applyFont="1" applyFill="1"/>
    <xf numFmtId="0" fontId="0" fillId="11" borderId="0" xfId="0" applyFill="1"/>
    <xf numFmtId="0" fontId="2" fillId="1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11" borderId="10" xfId="0" applyFont="1" applyFill="1" applyBorder="1"/>
    <xf numFmtId="0" fontId="13" fillId="3" borderId="1" xfId="0" applyFont="1" applyFill="1" applyBorder="1" applyAlignment="1">
      <alignment horizontal="center" vertical="center"/>
    </xf>
    <xf numFmtId="0" fontId="13" fillId="11" borderId="0" xfId="0" applyFont="1" applyFill="1"/>
    <xf numFmtId="0" fontId="13" fillId="34" borderId="8" xfId="0" applyFont="1" applyFill="1" applyBorder="1" applyAlignment="1">
      <alignment horizontal="center"/>
    </xf>
    <xf numFmtId="0" fontId="13" fillId="35" borderId="0" xfId="0" applyFont="1" applyFill="1"/>
    <xf numFmtId="0" fontId="5" fillId="11" borderId="9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wrapText="1"/>
    </xf>
    <xf numFmtId="0" fontId="5" fillId="33" borderId="7" xfId="0" applyFont="1" applyFill="1" applyBorder="1" applyAlignment="1"/>
    <xf numFmtId="0" fontId="5" fillId="32" borderId="7" xfId="0" applyFont="1" applyFill="1" applyBorder="1" applyAlignment="1"/>
    <xf numFmtId="0" fontId="5" fillId="31" borderId="7" xfId="0" applyFont="1" applyFill="1" applyBorder="1" applyAlignment="1"/>
    <xf numFmtId="0" fontId="5" fillId="30" borderId="7" xfId="0" applyFont="1" applyFill="1" applyBorder="1" applyAlignment="1"/>
    <xf numFmtId="0" fontId="5" fillId="29" borderId="7" xfId="0" applyFont="1" applyFill="1" applyBorder="1" applyAlignment="1"/>
    <xf numFmtId="0" fontId="5" fillId="28" borderId="6" xfId="0" applyFont="1" applyFill="1" applyBorder="1" applyAlignment="1"/>
    <xf numFmtId="0" fontId="5" fillId="27" borderId="6" xfId="0" applyFont="1" applyFill="1" applyBorder="1" applyAlignment="1"/>
    <xf numFmtId="0" fontId="5" fillId="26" borderId="6" xfId="0" applyFont="1" applyFill="1" applyBorder="1" applyAlignment="1"/>
    <xf numFmtId="0" fontId="5" fillId="25" borderId="6" xfId="0" applyFont="1" applyFill="1" applyBorder="1" applyAlignment="1"/>
    <xf numFmtId="0" fontId="5" fillId="24" borderId="6" xfId="0" applyFont="1" applyFill="1" applyBorder="1" applyAlignment="1"/>
    <xf numFmtId="0" fontId="5" fillId="23" borderId="6" xfId="0" applyFont="1" applyFill="1" applyBorder="1" applyAlignment="1"/>
    <xf numFmtId="0" fontId="5" fillId="22" borderId="6" xfId="0" applyFont="1" applyFill="1" applyBorder="1" applyAlignment="1"/>
    <xf numFmtId="0" fontId="5" fillId="21" borderId="6" xfId="0" applyFont="1" applyFill="1" applyBorder="1" applyAlignment="1"/>
    <xf numFmtId="0" fontId="5" fillId="20" borderId="6" xfId="0" applyFont="1" applyFill="1" applyBorder="1" applyAlignment="1"/>
    <xf numFmtId="0" fontId="5" fillId="19" borderId="6" xfId="0" applyFont="1" applyFill="1" applyBorder="1" applyAlignment="1"/>
    <xf numFmtId="0" fontId="5" fillId="18" borderId="7" xfId="0" applyFont="1" applyFill="1" applyBorder="1" applyAlignment="1"/>
    <xf numFmtId="0" fontId="5" fillId="17" borderId="7" xfId="0" applyFont="1" applyFill="1" applyBorder="1" applyAlignment="1"/>
    <xf numFmtId="0" fontId="5" fillId="16" borderId="7" xfId="0" applyFont="1" applyFill="1" applyBorder="1" applyAlignment="1"/>
    <xf numFmtId="0" fontId="5" fillId="15" borderId="7" xfId="0" applyFont="1" applyFill="1" applyBorder="1" applyAlignment="1"/>
    <xf numFmtId="0" fontId="5" fillId="14" borderId="7" xfId="0" applyFont="1" applyFill="1" applyBorder="1" applyAlignment="1"/>
    <xf numFmtId="0" fontId="5" fillId="12" borderId="7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1FFFF"/>
      <color rgb="FFF9E7F7"/>
      <color rgb="FFFFEDB9"/>
      <color rgb="FFFFA7D3"/>
      <color rgb="FF660033"/>
      <color rgb="FFFFE7FF"/>
      <color rgb="FFFFCDD7"/>
      <color rgb="FFE2C4A6"/>
      <color rgb="FFFFFFDD"/>
      <color rgb="FFE1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D5" totalsRowShown="0">
  <autoFilter ref="A1:D5"/>
  <tableColumns count="4">
    <tableColumn id="1" name="Cargo"/>
    <tableColumn id="2" name="Ocupado"/>
    <tableColumn id="3" name="Vago"/>
    <tableColumn id="4" name="Tot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8"/>
  <sheetViews>
    <sheetView tabSelected="1" showOutlineSymbols="0" showWhiteSpace="0" topLeftCell="A53" zoomScaleNormal="100" workbookViewId="0">
      <pane xSplit="1" topLeftCell="B1" activePane="topRight" state="frozen"/>
      <selection pane="topRight" activeCell="E16" sqref="E16"/>
    </sheetView>
  </sheetViews>
  <sheetFormatPr defaultRowHeight="14.25"/>
  <cols>
    <col min="1" max="1" width="14.25" style="35" bestFit="1" customWidth="1"/>
    <col min="2" max="2" width="14.875" style="35" bestFit="1" customWidth="1"/>
    <col min="3" max="4" width="9" style="35"/>
    <col min="5" max="16384" width="9" style="36"/>
  </cols>
  <sheetData>
    <row r="1" spans="1:2" ht="20.100000000000001" customHeight="1">
      <c r="A1" s="68"/>
      <c r="B1" s="68"/>
    </row>
    <row r="2" spans="1:2" ht="20.100000000000001" customHeight="1">
      <c r="A2" s="37" t="s">
        <v>3</v>
      </c>
      <c r="B2" s="37" t="s">
        <v>4</v>
      </c>
    </row>
    <row r="3" spans="1:2" s="41" customFormat="1" ht="20.100000000000001" customHeight="1">
      <c r="A3" s="40" t="s">
        <v>7</v>
      </c>
      <c r="B3" s="40" t="s">
        <v>7</v>
      </c>
    </row>
    <row r="4" spans="1:2" s="41" customFormat="1" ht="20.100000000000001" customHeight="1">
      <c r="A4" s="40" t="s">
        <v>7</v>
      </c>
      <c r="B4" s="40" t="s">
        <v>7</v>
      </c>
    </row>
    <row r="5" spans="1:2" s="41" customFormat="1" ht="20.100000000000001" customHeight="1">
      <c r="A5" s="40" t="s">
        <v>7</v>
      </c>
      <c r="B5" s="40" t="s">
        <v>7</v>
      </c>
    </row>
    <row r="6" spans="1:2" ht="20.100000000000001" customHeight="1">
      <c r="A6" s="2" t="s">
        <v>8</v>
      </c>
      <c r="B6" s="2" t="s">
        <v>8</v>
      </c>
    </row>
    <row r="7" spans="1:2" ht="20.100000000000001" customHeight="1">
      <c r="A7" s="37" t="s">
        <v>3</v>
      </c>
      <c r="B7" s="37" t="s">
        <v>4</v>
      </c>
    </row>
    <row r="8" spans="1:2" s="41" customFormat="1" ht="20.100000000000001" customHeight="1">
      <c r="A8" s="40" t="s">
        <v>12</v>
      </c>
      <c r="B8" s="40" t="s">
        <v>12</v>
      </c>
    </row>
    <row r="9" spans="1:2" s="41" customFormat="1" ht="20.100000000000001" customHeight="1">
      <c r="A9" s="40" t="s">
        <v>12</v>
      </c>
      <c r="B9" s="40" t="s">
        <v>12</v>
      </c>
    </row>
    <row r="10" spans="1:2" s="41" customFormat="1" ht="20.100000000000001" customHeight="1">
      <c r="A10" s="40" t="s">
        <v>12</v>
      </c>
      <c r="B10" s="40" t="s">
        <v>12</v>
      </c>
    </row>
    <row r="11" spans="1:2" s="41" customFormat="1" ht="20.100000000000001" customHeight="1">
      <c r="A11" s="40" t="s">
        <v>12</v>
      </c>
      <c r="B11" s="40" t="s">
        <v>12</v>
      </c>
    </row>
    <row r="12" spans="1:2" s="41" customFormat="1" ht="20.100000000000001" customHeight="1">
      <c r="A12" s="40" t="s">
        <v>12</v>
      </c>
      <c r="B12" s="40" t="s">
        <v>12</v>
      </c>
    </row>
    <row r="13" spans="1:2" s="41" customFormat="1" ht="20.100000000000001" customHeight="1">
      <c r="A13" s="40" t="s">
        <v>12</v>
      </c>
      <c r="B13" s="40" t="s">
        <v>12</v>
      </c>
    </row>
    <row r="14" spans="1:2" s="41" customFormat="1" ht="20.100000000000001" customHeight="1">
      <c r="A14" s="40" t="s">
        <v>12</v>
      </c>
      <c r="B14" s="40" t="s">
        <v>12</v>
      </c>
    </row>
    <row r="15" spans="1:2" s="41" customFormat="1" ht="20.100000000000001" customHeight="1">
      <c r="A15" s="40" t="s">
        <v>12</v>
      </c>
      <c r="B15" s="40" t="s">
        <v>12</v>
      </c>
    </row>
    <row r="16" spans="1:2" ht="20.100000000000001" customHeight="1">
      <c r="A16" s="2" t="s">
        <v>8</v>
      </c>
      <c r="B16" s="2" t="s">
        <v>8</v>
      </c>
    </row>
    <row r="17" spans="1:2" ht="20.100000000000001" customHeight="1">
      <c r="A17" s="67"/>
      <c r="B17" s="67"/>
    </row>
    <row r="18" spans="1:2" ht="20.100000000000001" customHeight="1">
      <c r="A18" s="37" t="s">
        <v>3</v>
      </c>
      <c r="B18" s="37" t="s">
        <v>4</v>
      </c>
    </row>
    <row r="19" spans="1:2" s="41" customFormat="1" ht="20.100000000000001" customHeight="1">
      <c r="A19" s="40" t="s">
        <v>17</v>
      </c>
      <c r="B19" s="40" t="s">
        <v>17</v>
      </c>
    </row>
    <row r="20" spans="1:2" s="41" customFormat="1" ht="20.100000000000001" customHeight="1">
      <c r="A20" s="40" t="s">
        <v>17</v>
      </c>
      <c r="B20" s="40" t="s">
        <v>17</v>
      </c>
    </row>
    <row r="21" spans="1:2" s="41" customFormat="1" ht="20.100000000000001" customHeight="1">
      <c r="A21" s="40" t="s">
        <v>17</v>
      </c>
      <c r="B21" s="40" t="s">
        <v>17</v>
      </c>
    </row>
    <row r="22" spans="1:2" s="41" customFormat="1" ht="20.100000000000001" customHeight="1">
      <c r="A22" s="40" t="s">
        <v>17</v>
      </c>
      <c r="B22" s="40" t="s">
        <v>17</v>
      </c>
    </row>
    <row r="23" spans="1:2" s="41" customFormat="1" ht="20.100000000000001" customHeight="1">
      <c r="A23" s="40" t="s">
        <v>17</v>
      </c>
      <c r="B23" s="40" t="s">
        <v>17</v>
      </c>
    </row>
    <row r="24" spans="1:2" s="41" customFormat="1" ht="20.100000000000001" customHeight="1">
      <c r="A24" s="40" t="s">
        <v>17</v>
      </c>
      <c r="B24" s="40" t="s">
        <v>17</v>
      </c>
    </row>
    <row r="25" spans="1:2" s="41" customFormat="1" ht="20.100000000000001" customHeight="1">
      <c r="A25" s="40" t="s">
        <v>17</v>
      </c>
      <c r="B25" s="40" t="s">
        <v>17</v>
      </c>
    </row>
    <row r="26" spans="1:2" ht="20.100000000000001" customHeight="1">
      <c r="A26" s="2" t="s">
        <v>8</v>
      </c>
      <c r="B26" s="2" t="s">
        <v>8</v>
      </c>
    </row>
    <row r="27" spans="1:2" ht="20.100000000000001" customHeight="1">
      <c r="A27" s="66"/>
      <c r="B27" s="66"/>
    </row>
    <row r="28" spans="1:2" ht="20.100000000000001" customHeight="1">
      <c r="A28" s="37" t="s">
        <v>3</v>
      </c>
      <c r="B28" s="37" t="s">
        <v>4</v>
      </c>
    </row>
    <row r="29" spans="1:2" s="41" customFormat="1" ht="20.100000000000001" customHeight="1">
      <c r="A29" s="40" t="s">
        <v>20</v>
      </c>
      <c r="B29" s="40" t="s">
        <v>20</v>
      </c>
    </row>
    <row r="30" spans="1:2" s="41" customFormat="1" ht="20.100000000000001" customHeight="1">
      <c r="A30" s="40" t="s">
        <v>20</v>
      </c>
      <c r="B30" s="40" t="s">
        <v>20</v>
      </c>
    </row>
    <row r="31" spans="1:2" s="41" customFormat="1" ht="20.100000000000001" customHeight="1">
      <c r="A31" s="40" t="s">
        <v>20</v>
      </c>
      <c r="B31" s="40" t="s">
        <v>20</v>
      </c>
    </row>
    <row r="32" spans="1:2" s="41" customFormat="1" ht="20.100000000000001" customHeight="1">
      <c r="A32" s="40" t="s">
        <v>20</v>
      </c>
      <c r="B32" s="40" t="s">
        <v>20</v>
      </c>
    </row>
    <row r="33" spans="1:2" s="41" customFormat="1" ht="20.100000000000001" customHeight="1">
      <c r="A33" s="40" t="s">
        <v>20</v>
      </c>
      <c r="B33" s="40" t="s">
        <v>20</v>
      </c>
    </row>
    <row r="34" spans="1:2" ht="20.100000000000001" customHeight="1">
      <c r="A34" s="2" t="s">
        <v>8</v>
      </c>
      <c r="B34" s="2" t="s">
        <v>8</v>
      </c>
    </row>
    <row r="35" spans="1:2" ht="20.100000000000001" customHeight="1">
      <c r="A35" s="65"/>
      <c r="B35" s="65"/>
    </row>
    <row r="36" spans="1:2" ht="20.100000000000001" customHeight="1">
      <c r="A36" s="37" t="s">
        <v>3</v>
      </c>
      <c r="B36" s="37" t="s">
        <v>4</v>
      </c>
    </row>
    <row r="37" spans="1:2" s="41" customFormat="1" ht="20.100000000000001" customHeight="1">
      <c r="A37" s="40" t="s">
        <v>26</v>
      </c>
      <c r="B37" s="40" t="s">
        <v>26</v>
      </c>
    </row>
    <row r="38" spans="1:2" s="41" customFormat="1" ht="20.100000000000001" customHeight="1">
      <c r="A38" s="40" t="s">
        <v>26</v>
      </c>
      <c r="B38" s="40" t="s">
        <v>26</v>
      </c>
    </row>
    <row r="39" spans="1:2" s="41" customFormat="1" ht="20.100000000000001" customHeight="1">
      <c r="A39" s="40" t="s">
        <v>26</v>
      </c>
      <c r="B39" s="40" t="s">
        <v>26</v>
      </c>
    </row>
    <row r="40" spans="1:2" s="41" customFormat="1" ht="20.100000000000001" customHeight="1">
      <c r="A40" s="40" t="s">
        <v>26</v>
      </c>
      <c r="B40" s="40" t="s">
        <v>26</v>
      </c>
    </row>
    <row r="41" spans="1:2" s="41" customFormat="1" ht="20.100000000000001" customHeight="1">
      <c r="A41" s="40" t="s">
        <v>26</v>
      </c>
      <c r="B41" s="40" t="s">
        <v>26</v>
      </c>
    </row>
    <row r="42" spans="1:2" s="41" customFormat="1" ht="20.100000000000001" customHeight="1">
      <c r="A42" s="40" t="s">
        <v>26</v>
      </c>
      <c r="B42" s="40" t="s">
        <v>26</v>
      </c>
    </row>
    <row r="43" spans="1:2" s="41" customFormat="1" ht="20.100000000000001" customHeight="1">
      <c r="A43" s="40" t="s">
        <v>26</v>
      </c>
      <c r="B43" s="40" t="s">
        <v>26</v>
      </c>
    </row>
    <row r="44" spans="1:2" s="41" customFormat="1" ht="20.100000000000001" customHeight="1">
      <c r="A44" s="40" t="s">
        <v>26</v>
      </c>
      <c r="B44" s="40" t="s">
        <v>26</v>
      </c>
    </row>
    <row r="45" spans="1:2" s="41" customFormat="1" ht="20.100000000000001" customHeight="1">
      <c r="A45" s="40" t="s">
        <v>26</v>
      </c>
      <c r="B45" s="40" t="s">
        <v>26</v>
      </c>
    </row>
    <row r="46" spans="1:2" s="41" customFormat="1" ht="20.100000000000001" customHeight="1">
      <c r="A46" s="40" t="s">
        <v>26</v>
      </c>
      <c r="B46" s="40" t="s">
        <v>26</v>
      </c>
    </row>
    <row r="47" spans="1:2" ht="20.100000000000001" customHeight="1">
      <c r="A47" s="2" t="s">
        <v>8</v>
      </c>
      <c r="B47" s="2" t="s">
        <v>8</v>
      </c>
    </row>
    <row r="48" spans="1:2" ht="20.100000000000001" customHeight="1">
      <c r="A48" s="64"/>
      <c r="B48" s="64"/>
    </row>
    <row r="49" spans="1:2" ht="20.100000000000001" customHeight="1">
      <c r="A49" s="37" t="s">
        <v>3</v>
      </c>
      <c r="B49" s="37" t="s">
        <v>4</v>
      </c>
    </row>
    <row r="50" spans="1:2" s="41" customFormat="1" ht="20.100000000000001" customHeight="1">
      <c r="A50" s="40" t="s">
        <v>26</v>
      </c>
      <c r="B50" s="40" t="s">
        <v>34</v>
      </c>
    </row>
    <row r="51" spans="1:2" s="41" customFormat="1" ht="20.100000000000001" customHeight="1">
      <c r="A51" s="40" t="s">
        <v>26</v>
      </c>
      <c r="B51" s="40" t="s">
        <v>34</v>
      </c>
    </row>
    <row r="52" spans="1:2" ht="20.100000000000001" customHeight="1">
      <c r="A52" s="2" t="s">
        <v>8</v>
      </c>
      <c r="B52" s="2" t="s">
        <v>8</v>
      </c>
    </row>
    <row r="53" spans="1:2" ht="20.100000000000001" customHeight="1">
      <c r="A53" s="63"/>
      <c r="B53" s="63"/>
    </row>
    <row r="54" spans="1:2" ht="20.100000000000001" customHeight="1">
      <c r="A54" s="37" t="s">
        <v>3</v>
      </c>
      <c r="B54" s="37" t="s">
        <v>4</v>
      </c>
    </row>
    <row r="55" spans="1:2" s="41" customFormat="1" ht="20.100000000000001" customHeight="1">
      <c r="A55" s="40" t="s">
        <v>36</v>
      </c>
      <c r="B55" s="40" t="s">
        <v>36</v>
      </c>
    </row>
    <row r="56" spans="1:2" s="41" customFormat="1" ht="20.100000000000001" customHeight="1">
      <c r="A56" s="40" t="s">
        <v>36</v>
      </c>
      <c r="B56" s="40" t="s">
        <v>39</v>
      </c>
    </row>
    <row r="57" spans="1:2" s="41" customFormat="1" ht="20.100000000000001" customHeight="1">
      <c r="A57" s="40" t="s">
        <v>36</v>
      </c>
      <c r="B57" s="40" t="s">
        <v>41</v>
      </c>
    </row>
    <row r="58" spans="1:2" s="41" customFormat="1" ht="20.100000000000001" customHeight="1">
      <c r="A58" s="40" t="s">
        <v>36</v>
      </c>
      <c r="B58" s="40" t="s">
        <v>39</v>
      </c>
    </row>
    <row r="59" spans="1:2" s="41" customFormat="1" ht="20.100000000000001" customHeight="1">
      <c r="A59" s="40" t="s">
        <v>36</v>
      </c>
      <c r="B59" s="40" t="s">
        <v>41</v>
      </c>
    </row>
    <row r="60" spans="1:2" s="41" customFormat="1" ht="20.100000000000001" customHeight="1">
      <c r="A60" s="40" t="s">
        <v>36</v>
      </c>
      <c r="B60" s="40" t="s">
        <v>36</v>
      </c>
    </row>
    <row r="61" spans="1:2" s="41" customFormat="1" ht="20.100000000000001" customHeight="1">
      <c r="A61" s="40" t="s">
        <v>36</v>
      </c>
      <c r="B61" s="40" t="s">
        <v>39</v>
      </c>
    </row>
    <row r="62" spans="1:2" s="41" customFormat="1" ht="20.100000000000001" customHeight="1">
      <c r="A62" s="40" t="s">
        <v>36</v>
      </c>
      <c r="B62" s="40" t="s">
        <v>39</v>
      </c>
    </row>
    <row r="63" spans="1:2" s="41" customFormat="1" ht="20.100000000000001" customHeight="1">
      <c r="A63" s="40" t="s">
        <v>36</v>
      </c>
      <c r="B63" s="40" t="s">
        <v>39</v>
      </c>
    </row>
    <row r="64" spans="1:2" s="41" customFormat="1" ht="20.100000000000001" customHeight="1">
      <c r="A64" s="40" t="s">
        <v>36</v>
      </c>
      <c r="B64" s="40" t="s">
        <v>41</v>
      </c>
    </row>
    <row r="65" spans="1:2" s="41" customFormat="1" ht="20.100000000000001" customHeight="1">
      <c r="A65" s="40" t="s">
        <v>36</v>
      </c>
      <c r="B65" s="40" t="s">
        <v>39</v>
      </c>
    </row>
    <row r="66" spans="1:2" s="41" customFormat="1" ht="20.100000000000001" customHeight="1">
      <c r="A66" s="40" t="s">
        <v>36</v>
      </c>
      <c r="B66" s="40" t="s">
        <v>39</v>
      </c>
    </row>
    <row r="67" spans="1:2" ht="20.100000000000001" customHeight="1">
      <c r="A67" s="2" t="s">
        <v>8</v>
      </c>
      <c r="B67" s="2" t="s">
        <v>8</v>
      </c>
    </row>
    <row r="68" spans="1:2" ht="20.100000000000001" customHeight="1">
      <c r="A68" s="62"/>
      <c r="B68" s="62"/>
    </row>
    <row r="69" spans="1:2" ht="20.100000000000001" customHeight="1">
      <c r="A69" s="37" t="s">
        <v>3</v>
      </c>
      <c r="B69" s="37" t="s">
        <v>4</v>
      </c>
    </row>
    <row r="70" spans="1:2" s="41" customFormat="1" ht="20.100000000000001" customHeight="1">
      <c r="A70" s="40" t="s">
        <v>45</v>
      </c>
      <c r="B70" s="40" t="s">
        <v>45</v>
      </c>
    </row>
    <row r="71" spans="1:2" s="41" customFormat="1" ht="20.100000000000001" customHeight="1">
      <c r="A71" s="40" t="s">
        <v>45</v>
      </c>
      <c r="B71" s="40" t="s">
        <v>45</v>
      </c>
    </row>
    <row r="72" spans="1:2" s="41" customFormat="1" ht="20.100000000000001" customHeight="1">
      <c r="A72" s="40" t="s">
        <v>45</v>
      </c>
      <c r="B72" s="40" t="s">
        <v>45</v>
      </c>
    </row>
    <row r="73" spans="1:2" s="41" customFormat="1" ht="20.100000000000001" customHeight="1">
      <c r="A73" s="40" t="s">
        <v>45</v>
      </c>
      <c r="B73" s="40" t="s">
        <v>45</v>
      </c>
    </row>
    <row r="74" spans="1:2" ht="19.5" customHeight="1">
      <c r="A74" s="2"/>
      <c r="B74" s="2"/>
    </row>
    <row r="75" spans="1:2" ht="20.100000000000001" customHeight="1">
      <c r="A75" s="61"/>
      <c r="B75" s="61"/>
    </row>
    <row r="76" spans="1:2" ht="20.100000000000001" customHeight="1">
      <c r="A76" s="37" t="s">
        <v>3</v>
      </c>
      <c r="B76" s="37" t="s">
        <v>4</v>
      </c>
    </row>
    <row r="77" spans="1:2" s="41" customFormat="1" ht="20.100000000000001" customHeight="1">
      <c r="A77" s="40" t="s">
        <v>49</v>
      </c>
      <c r="B77" s="40" t="s">
        <v>49</v>
      </c>
    </row>
    <row r="78" spans="1:2" s="41" customFormat="1" ht="20.100000000000001" customHeight="1">
      <c r="A78" s="40" t="s">
        <v>49</v>
      </c>
      <c r="B78" s="40" t="s">
        <v>49</v>
      </c>
    </row>
    <row r="79" spans="1:2" s="41" customFormat="1" ht="20.100000000000001" customHeight="1">
      <c r="A79" s="40" t="s">
        <v>49</v>
      </c>
      <c r="B79" s="40" t="s">
        <v>49</v>
      </c>
    </row>
    <row r="80" spans="1:2" s="41" customFormat="1" ht="20.100000000000001" customHeight="1">
      <c r="A80" s="40" t="s">
        <v>49</v>
      </c>
      <c r="B80" s="40" t="s">
        <v>49</v>
      </c>
    </row>
    <row r="81" spans="1:2" s="41" customFormat="1" ht="20.100000000000001" customHeight="1">
      <c r="A81" s="40" t="s">
        <v>49</v>
      </c>
      <c r="B81" s="40" t="s">
        <v>49</v>
      </c>
    </row>
    <row r="82" spans="1:2" s="41" customFormat="1" ht="20.100000000000001" customHeight="1">
      <c r="A82" s="40" t="s">
        <v>49</v>
      </c>
      <c r="B82" s="40" t="s">
        <v>49</v>
      </c>
    </row>
    <row r="83" spans="1:2" ht="20.100000000000001" customHeight="1">
      <c r="A83" s="2" t="s">
        <v>8</v>
      </c>
      <c r="B83" s="2" t="s">
        <v>8</v>
      </c>
    </row>
    <row r="84" spans="1:2" ht="20.100000000000001" customHeight="1">
      <c r="A84" s="60"/>
      <c r="B84" s="60"/>
    </row>
    <row r="85" spans="1:2" ht="20.100000000000001" customHeight="1">
      <c r="A85" s="37" t="s">
        <v>3</v>
      </c>
      <c r="B85" s="37" t="s">
        <v>4</v>
      </c>
    </row>
    <row r="86" spans="1:2" s="41" customFormat="1" ht="20.100000000000001" customHeight="1">
      <c r="A86" s="40" t="s">
        <v>53</v>
      </c>
      <c r="B86" s="40" t="s">
        <v>53</v>
      </c>
    </row>
    <row r="87" spans="1:2" s="41" customFormat="1" ht="20.100000000000001" customHeight="1">
      <c r="A87" s="40" t="s">
        <v>53</v>
      </c>
      <c r="B87" s="40" t="s">
        <v>53</v>
      </c>
    </row>
    <row r="88" spans="1:2" s="41" customFormat="1" ht="20.100000000000001" customHeight="1">
      <c r="A88" s="40" t="s">
        <v>53</v>
      </c>
      <c r="B88" s="40" t="s">
        <v>53</v>
      </c>
    </row>
    <row r="89" spans="1:2" ht="20.100000000000001" customHeight="1">
      <c r="A89" s="2" t="s">
        <v>8</v>
      </c>
      <c r="B89" s="2" t="s">
        <v>8</v>
      </c>
    </row>
    <row r="90" spans="1:2" ht="20.100000000000001" customHeight="1">
      <c r="A90" s="59"/>
      <c r="B90" s="59"/>
    </row>
    <row r="91" spans="1:2" ht="20.100000000000001" customHeight="1">
      <c r="A91" s="37" t="s">
        <v>3</v>
      </c>
      <c r="B91" s="37" t="s">
        <v>4</v>
      </c>
    </row>
    <row r="92" spans="1:2" s="41" customFormat="1" ht="20.100000000000001" customHeight="1">
      <c r="A92" s="40" t="s">
        <v>57</v>
      </c>
      <c r="B92" s="40" t="s">
        <v>57</v>
      </c>
    </row>
    <row r="93" spans="1:2" s="41" customFormat="1" ht="20.100000000000001" customHeight="1">
      <c r="A93" s="40" t="s">
        <v>57</v>
      </c>
      <c r="B93" s="40" t="s">
        <v>57</v>
      </c>
    </row>
    <row r="94" spans="1:2" s="41" customFormat="1" ht="20.100000000000001" customHeight="1">
      <c r="A94" s="40" t="s">
        <v>57</v>
      </c>
      <c r="B94" s="40" t="s">
        <v>57</v>
      </c>
    </row>
    <row r="95" spans="1:2" s="41" customFormat="1" ht="20.100000000000001" customHeight="1">
      <c r="A95" s="40" t="s">
        <v>57</v>
      </c>
      <c r="B95" s="40" t="s">
        <v>57</v>
      </c>
    </row>
    <row r="96" spans="1:2" s="41" customFormat="1" ht="20.100000000000001" customHeight="1">
      <c r="A96" s="40" t="s">
        <v>57</v>
      </c>
      <c r="B96" s="40" t="s">
        <v>57</v>
      </c>
    </row>
    <row r="97" spans="1:2" s="41" customFormat="1" ht="20.100000000000001" customHeight="1">
      <c r="A97" s="40" t="s">
        <v>57</v>
      </c>
      <c r="B97" s="40" t="s">
        <v>57</v>
      </c>
    </row>
    <row r="98" spans="1:2" ht="20.100000000000001" customHeight="1">
      <c r="A98" s="2" t="s">
        <v>8</v>
      </c>
      <c r="B98" s="2" t="s">
        <v>8</v>
      </c>
    </row>
    <row r="99" spans="1:2" ht="20.100000000000001" customHeight="1">
      <c r="A99" s="58"/>
      <c r="B99" s="58"/>
    </row>
    <row r="100" spans="1:2" ht="20.100000000000001" customHeight="1">
      <c r="A100" s="37" t="s">
        <v>3</v>
      </c>
      <c r="B100" s="37" t="s">
        <v>4</v>
      </c>
    </row>
    <row r="101" spans="1:2" s="41" customFormat="1" ht="20.100000000000001" customHeight="1">
      <c r="A101" s="40" t="s">
        <v>57</v>
      </c>
      <c r="B101" s="40" t="s">
        <v>61</v>
      </c>
    </row>
    <row r="102" spans="1:2" s="41" customFormat="1" ht="20.100000000000001" customHeight="1">
      <c r="A102" s="40" t="s">
        <v>57</v>
      </c>
      <c r="B102" s="40" t="s">
        <v>61</v>
      </c>
    </row>
    <row r="103" spans="1:2" s="41" customFormat="1" ht="20.100000000000001" customHeight="1">
      <c r="A103" s="40" t="s">
        <v>57</v>
      </c>
      <c r="B103" s="40" t="s">
        <v>61</v>
      </c>
    </row>
    <row r="104" spans="1:2" s="41" customFormat="1" ht="20.100000000000001" customHeight="1">
      <c r="A104" s="40" t="s">
        <v>57</v>
      </c>
      <c r="B104" s="40" t="s">
        <v>61</v>
      </c>
    </row>
    <row r="105" spans="1:2" s="41" customFormat="1" ht="20.100000000000001" customHeight="1">
      <c r="A105" s="40" t="s">
        <v>57</v>
      </c>
      <c r="B105" s="40" t="s">
        <v>61</v>
      </c>
    </row>
    <row r="106" spans="1:2" s="41" customFormat="1" ht="20.100000000000001" customHeight="1">
      <c r="A106" s="40" t="s">
        <v>57</v>
      </c>
      <c r="B106" s="40" t="s">
        <v>61</v>
      </c>
    </row>
    <row r="107" spans="1:2" s="41" customFormat="1" ht="20.100000000000001" customHeight="1">
      <c r="A107" s="40" t="s">
        <v>57</v>
      </c>
      <c r="B107" s="40" t="s">
        <v>61</v>
      </c>
    </row>
    <row r="108" spans="1:2" s="41" customFormat="1" ht="20.100000000000001" customHeight="1">
      <c r="A108" s="40" t="s">
        <v>57</v>
      </c>
      <c r="B108" s="40" t="s">
        <v>61</v>
      </c>
    </row>
    <row r="109" spans="1:2" s="41" customFormat="1" ht="20.100000000000001" customHeight="1">
      <c r="A109" s="40" t="s">
        <v>57</v>
      </c>
      <c r="B109" s="40" t="s">
        <v>61</v>
      </c>
    </row>
    <row r="110" spans="1:2" s="41" customFormat="1" ht="20.100000000000001" customHeight="1">
      <c r="A110" s="40" t="s">
        <v>57</v>
      </c>
      <c r="B110" s="40" t="s">
        <v>61</v>
      </c>
    </row>
    <row r="111" spans="1:2" ht="20.100000000000001" customHeight="1">
      <c r="A111" s="2"/>
      <c r="B111" s="2"/>
    </row>
    <row r="112" spans="1:2" ht="20.100000000000001" customHeight="1">
      <c r="A112" s="57"/>
      <c r="B112" s="57"/>
    </row>
    <row r="113" spans="1:2" ht="20.100000000000001" customHeight="1">
      <c r="A113" s="37" t="s">
        <v>3</v>
      </c>
      <c r="B113" s="37" t="s">
        <v>4</v>
      </c>
    </row>
    <row r="114" spans="1:2" s="41" customFormat="1" ht="20.100000000000001" customHeight="1">
      <c r="A114" s="40" t="s">
        <v>57</v>
      </c>
      <c r="B114" s="40" t="s">
        <v>68</v>
      </c>
    </row>
    <row r="115" spans="1:2" s="41" customFormat="1" ht="20.100000000000001" customHeight="1">
      <c r="A115" s="40" t="s">
        <v>57</v>
      </c>
      <c r="B115" s="40" t="s">
        <v>68</v>
      </c>
    </row>
    <row r="116" spans="1:2" s="41" customFormat="1" ht="20.100000000000001" customHeight="1">
      <c r="A116" s="40" t="s">
        <v>57</v>
      </c>
      <c r="B116" s="40" t="s">
        <v>68</v>
      </c>
    </row>
    <row r="117" spans="1:2" s="41" customFormat="1" ht="20.100000000000001" customHeight="1">
      <c r="A117" s="40" t="s">
        <v>57</v>
      </c>
      <c r="B117" s="40" t="s">
        <v>68</v>
      </c>
    </row>
    <row r="118" spans="1:2" s="41" customFormat="1" ht="20.100000000000001" customHeight="1">
      <c r="A118" s="40" t="s">
        <v>57</v>
      </c>
      <c r="B118" s="40" t="s">
        <v>68</v>
      </c>
    </row>
    <row r="119" spans="1:2" s="41" customFormat="1" ht="20.100000000000001" customHeight="1">
      <c r="A119" s="40" t="s">
        <v>57</v>
      </c>
      <c r="B119" s="40" t="s">
        <v>68</v>
      </c>
    </row>
    <row r="120" spans="1:2" s="41" customFormat="1" ht="20.100000000000001" customHeight="1">
      <c r="A120" s="40" t="s">
        <v>57</v>
      </c>
      <c r="B120" s="40" t="s">
        <v>68</v>
      </c>
    </row>
    <row r="121" spans="1:2" s="41" customFormat="1" ht="20.100000000000001" customHeight="1">
      <c r="A121" s="40" t="s">
        <v>57</v>
      </c>
      <c r="B121" s="40" t="s">
        <v>68</v>
      </c>
    </row>
    <row r="122" spans="1:2" s="41" customFormat="1" ht="20.100000000000001" customHeight="1">
      <c r="A122" s="40" t="s">
        <v>57</v>
      </c>
      <c r="B122" s="40" t="s">
        <v>68</v>
      </c>
    </row>
    <row r="123" spans="1:2" s="41" customFormat="1" ht="20.100000000000001" customHeight="1">
      <c r="A123" s="40" t="s">
        <v>57</v>
      </c>
      <c r="B123" s="40" t="s">
        <v>68</v>
      </c>
    </row>
    <row r="124" spans="1:2" s="41" customFormat="1" ht="20.100000000000001" customHeight="1">
      <c r="A124" s="40" t="s">
        <v>57</v>
      </c>
      <c r="B124" s="40" t="s">
        <v>68</v>
      </c>
    </row>
    <row r="125" spans="1:2" s="41" customFormat="1" ht="20.100000000000001" customHeight="1">
      <c r="A125" s="40" t="s">
        <v>57</v>
      </c>
      <c r="B125" s="40" t="s">
        <v>68</v>
      </c>
    </row>
    <row r="126" spans="1:2" ht="20.100000000000001" customHeight="1">
      <c r="A126" s="2" t="s">
        <v>8</v>
      </c>
      <c r="B126" s="2" t="s">
        <v>8</v>
      </c>
    </row>
    <row r="127" spans="1:2" ht="20.100000000000001" customHeight="1">
      <c r="A127" s="56"/>
      <c r="B127" s="56"/>
    </row>
    <row r="128" spans="1:2" ht="20.100000000000001" customHeight="1">
      <c r="A128" s="37" t="s">
        <v>3</v>
      </c>
      <c r="B128" s="37" t="s">
        <v>4</v>
      </c>
    </row>
    <row r="129" spans="1:2" ht="20.100000000000001" customHeight="1">
      <c r="A129" s="1" t="s">
        <v>57</v>
      </c>
      <c r="B129" s="1" t="s">
        <v>72</v>
      </c>
    </row>
    <row r="130" spans="1:2" ht="20.100000000000001" customHeight="1">
      <c r="A130" s="1" t="s">
        <v>57</v>
      </c>
      <c r="B130" s="1" t="s">
        <v>72</v>
      </c>
    </row>
    <row r="131" spans="1:2" ht="20.100000000000001" customHeight="1">
      <c r="A131" s="1" t="s">
        <v>57</v>
      </c>
      <c r="B131" s="1" t="s">
        <v>72</v>
      </c>
    </row>
    <row r="132" spans="1:2" ht="20.100000000000001" customHeight="1">
      <c r="A132" s="1" t="s">
        <v>57</v>
      </c>
      <c r="B132" s="1" t="s">
        <v>72</v>
      </c>
    </row>
    <row r="133" spans="1:2" ht="20.100000000000001" customHeight="1">
      <c r="A133" s="1" t="s">
        <v>57</v>
      </c>
      <c r="B133" s="1" t="s">
        <v>72</v>
      </c>
    </row>
    <row r="134" spans="1:2" ht="20.100000000000001" customHeight="1">
      <c r="A134" s="1" t="s">
        <v>57</v>
      </c>
      <c r="B134" s="1" t="s">
        <v>72</v>
      </c>
    </row>
    <row r="135" spans="1:2" ht="20.100000000000001" customHeight="1">
      <c r="A135" s="1" t="s">
        <v>57</v>
      </c>
      <c r="B135" s="1" t="s">
        <v>72</v>
      </c>
    </row>
    <row r="136" spans="1:2" ht="20.100000000000001" customHeight="1">
      <c r="A136" s="1" t="s">
        <v>57</v>
      </c>
      <c r="B136" s="1" t="s">
        <v>72</v>
      </c>
    </row>
    <row r="137" spans="1:2" ht="20.100000000000001" customHeight="1">
      <c r="A137" s="1" t="s">
        <v>57</v>
      </c>
      <c r="B137" s="1" t="s">
        <v>72</v>
      </c>
    </row>
    <row r="138" spans="1:2" ht="20.100000000000001" customHeight="1">
      <c r="A138" s="1" t="s">
        <v>57</v>
      </c>
      <c r="B138" s="1" t="s">
        <v>72</v>
      </c>
    </row>
    <row r="139" spans="1:2" ht="20.100000000000001" customHeight="1">
      <c r="A139" s="1" t="s">
        <v>57</v>
      </c>
      <c r="B139" s="1" t="s">
        <v>72</v>
      </c>
    </row>
    <row r="140" spans="1:2" ht="20.100000000000001" customHeight="1">
      <c r="A140" s="1" t="s">
        <v>57</v>
      </c>
      <c r="B140" s="1" t="s">
        <v>72</v>
      </c>
    </row>
    <row r="141" spans="1:2" ht="20.100000000000001" customHeight="1">
      <c r="A141" s="1" t="s">
        <v>57</v>
      </c>
      <c r="B141" s="1" t="s">
        <v>72</v>
      </c>
    </row>
    <row r="142" spans="1:2" ht="20.100000000000001" customHeight="1">
      <c r="A142" s="2" t="s">
        <v>8</v>
      </c>
      <c r="B142" s="2" t="s">
        <v>8</v>
      </c>
    </row>
    <row r="143" spans="1:2" ht="20.100000000000001" customHeight="1">
      <c r="A143" s="55"/>
      <c r="B143" s="55"/>
    </row>
    <row r="144" spans="1:2" ht="20.100000000000001" customHeight="1">
      <c r="A144" s="37" t="s">
        <v>3</v>
      </c>
      <c r="B144" s="37" t="s">
        <v>4</v>
      </c>
    </row>
    <row r="145" spans="1:2" ht="20.100000000000001" customHeight="1">
      <c r="A145" s="1" t="s">
        <v>57</v>
      </c>
      <c r="B145" s="1" t="s">
        <v>76</v>
      </c>
    </row>
    <row r="146" spans="1:2" ht="20.100000000000001" customHeight="1">
      <c r="A146" s="1" t="s">
        <v>57</v>
      </c>
      <c r="B146" s="1" t="s">
        <v>76</v>
      </c>
    </row>
    <row r="147" spans="1:2" ht="20.100000000000001" customHeight="1">
      <c r="A147" s="1" t="s">
        <v>57</v>
      </c>
      <c r="B147" s="1" t="s">
        <v>76</v>
      </c>
    </row>
    <row r="148" spans="1:2" s="41" customFormat="1" ht="20.100000000000001" customHeight="1">
      <c r="A148" s="40" t="s">
        <v>57</v>
      </c>
      <c r="B148" s="40" t="s">
        <v>76</v>
      </c>
    </row>
    <row r="149" spans="1:2" s="41" customFormat="1" ht="20.100000000000001" customHeight="1">
      <c r="A149" s="40" t="s">
        <v>57</v>
      </c>
      <c r="B149" s="40" t="s">
        <v>76</v>
      </c>
    </row>
    <row r="150" spans="1:2" s="41" customFormat="1" ht="20.100000000000001" customHeight="1">
      <c r="A150" s="40" t="s">
        <v>57</v>
      </c>
      <c r="B150" s="40" t="s">
        <v>76</v>
      </c>
    </row>
    <row r="151" spans="1:2" s="41" customFormat="1" ht="20.100000000000001" customHeight="1">
      <c r="A151" s="40" t="s">
        <v>57</v>
      </c>
      <c r="B151" s="40" t="s">
        <v>76</v>
      </c>
    </row>
    <row r="152" spans="1:2" s="41" customFormat="1" ht="20.100000000000001" customHeight="1">
      <c r="A152" s="1" t="s">
        <v>57</v>
      </c>
      <c r="B152" s="1" t="s">
        <v>76</v>
      </c>
    </row>
    <row r="153" spans="1:2" s="41" customFormat="1" ht="20.100000000000001" customHeight="1">
      <c r="A153" s="40" t="s">
        <v>57</v>
      </c>
      <c r="B153" s="40" t="s">
        <v>76</v>
      </c>
    </row>
    <row r="154" spans="1:2" s="41" customFormat="1" ht="20.100000000000001" customHeight="1">
      <c r="A154" s="40" t="s">
        <v>57</v>
      </c>
      <c r="B154" s="40" t="s">
        <v>76</v>
      </c>
    </row>
    <row r="155" spans="1:2" s="41" customFormat="1" ht="20.100000000000001" customHeight="1">
      <c r="A155" s="40" t="s">
        <v>57</v>
      </c>
      <c r="B155" s="40" t="s">
        <v>76</v>
      </c>
    </row>
    <row r="156" spans="1:2" s="41" customFormat="1" ht="20.100000000000001" customHeight="1">
      <c r="A156" s="40" t="s">
        <v>57</v>
      </c>
      <c r="B156" s="40" t="s">
        <v>76</v>
      </c>
    </row>
    <row r="157" spans="1:2" s="41" customFormat="1" ht="20.100000000000001" customHeight="1">
      <c r="A157" s="40" t="s">
        <v>57</v>
      </c>
      <c r="B157" s="40" t="s">
        <v>76</v>
      </c>
    </row>
    <row r="158" spans="1:2" s="41" customFormat="1" ht="20.100000000000001" customHeight="1">
      <c r="A158" s="40" t="s">
        <v>57</v>
      </c>
      <c r="B158" s="40" t="s">
        <v>76</v>
      </c>
    </row>
    <row r="159" spans="1:2" s="41" customFormat="1" ht="20.100000000000001" customHeight="1">
      <c r="A159" s="40" t="s">
        <v>57</v>
      </c>
      <c r="B159" s="40" t="s">
        <v>76</v>
      </c>
    </row>
    <row r="160" spans="1:2" s="41" customFormat="1" ht="20.100000000000001" customHeight="1">
      <c r="A160" s="40" t="s">
        <v>57</v>
      </c>
      <c r="B160" s="40" t="s">
        <v>76</v>
      </c>
    </row>
    <row r="161" spans="1:4" s="41" customFormat="1" ht="20.100000000000001" customHeight="1">
      <c r="A161" s="40" t="s">
        <v>57</v>
      </c>
      <c r="B161" s="40" t="s">
        <v>76</v>
      </c>
    </row>
    <row r="162" spans="1:4" s="41" customFormat="1" ht="20.100000000000001" customHeight="1">
      <c r="A162" s="40" t="s">
        <v>57</v>
      </c>
      <c r="B162" s="40" t="s">
        <v>76</v>
      </c>
    </row>
    <row r="163" spans="1:4" s="41" customFormat="1" ht="20.100000000000001" customHeight="1">
      <c r="A163" s="42" t="s">
        <v>57</v>
      </c>
      <c r="B163" s="42" t="s">
        <v>76</v>
      </c>
      <c r="C163" s="43" t="s">
        <v>81</v>
      </c>
      <c r="D163" s="43" t="s">
        <v>81</v>
      </c>
    </row>
    <row r="164" spans="1:4" s="41" customFormat="1" ht="20.100000000000001" customHeight="1">
      <c r="A164" s="42" t="s">
        <v>57</v>
      </c>
      <c r="B164" s="42" t="s">
        <v>76</v>
      </c>
      <c r="C164" s="43"/>
      <c r="D164" s="43"/>
    </row>
    <row r="165" spans="1:4" s="41" customFormat="1" ht="20.100000000000001" customHeight="1">
      <c r="A165" s="40" t="s">
        <v>57</v>
      </c>
      <c r="B165" s="40" t="s">
        <v>76</v>
      </c>
    </row>
    <row r="166" spans="1:4" s="41" customFormat="1" ht="20.100000000000001" customHeight="1">
      <c r="A166" s="40" t="s">
        <v>57</v>
      </c>
      <c r="B166" s="40" t="s">
        <v>76</v>
      </c>
    </row>
    <row r="167" spans="1:4" s="41" customFormat="1" ht="20.100000000000001" customHeight="1">
      <c r="A167" s="40" t="s">
        <v>57</v>
      </c>
      <c r="B167" s="40" t="s">
        <v>76</v>
      </c>
    </row>
    <row r="168" spans="1:4" s="41" customFormat="1" ht="20.100000000000001" customHeight="1">
      <c r="A168" s="40" t="s">
        <v>57</v>
      </c>
      <c r="B168" s="40" t="s">
        <v>76</v>
      </c>
    </row>
    <row r="169" spans="1:4" s="41" customFormat="1" ht="20.100000000000001" customHeight="1">
      <c r="A169" s="40" t="s">
        <v>57</v>
      </c>
      <c r="B169" s="40" t="s">
        <v>76</v>
      </c>
    </row>
    <row r="170" spans="1:4" s="41" customFormat="1" ht="20.100000000000001" customHeight="1">
      <c r="A170" s="40" t="s">
        <v>57</v>
      </c>
      <c r="B170" s="40" t="s">
        <v>76</v>
      </c>
    </row>
    <row r="171" spans="1:4" s="41" customFormat="1" ht="20.100000000000001" customHeight="1">
      <c r="A171" s="40" t="s">
        <v>57</v>
      </c>
      <c r="B171" s="40" t="s">
        <v>76</v>
      </c>
    </row>
    <row r="172" spans="1:4" s="41" customFormat="1" ht="20.100000000000001" customHeight="1">
      <c r="A172" s="40" t="s">
        <v>57</v>
      </c>
      <c r="B172" s="40" t="s">
        <v>76</v>
      </c>
    </row>
    <row r="173" spans="1:4" s="41" customFormat="1" ht="20.100000000000001" customHeight="1">
      <c r="A173" s="40" t="s">
        <v>57</v>
      </c>
      <c r="B173" s="40" t="s">
        <v>76</v>
      </c>
    </row>
    <row r="174" spans="1:4" s="41" customFormat="1" ht="20.100000000000001" customHeight="1">
      <c r="A174" s="40" t="s">
        <v>57</v>
      </c>
      <c r="B174" s="40" t="s">
        <v>76</v>
      </c>
    </row>
    <row r="175" spans="1:4" s="41" customFormat="1" ht="20.100000000000001" customHeight="1">
      <c r="A175" s="40" t="s">
        <v>57</v>
      </c>
      <c r="B175" s="40" t="s">
        <v>76</v>
      </c>
    </row>
    <row r="176" spans="1:4" s="41" customFormat="1" ht="20.100000000000001" customHeight="1">
      <c r="A176" s="40" t="s">
        <v>57</v>
      </c>
      <c r="B176" s="40" t="s">
        <v>76</v>
      </c>
    </row>
    <row r="177" spans="1:2" s="41" customFormat="1" ht="20.100000000000001" customHeight="1">
      <c r="A177" s="40" t="s">
        <v>57</v>
      </c>
      <c r="B177" s="40" t="s">
        <v>76</v>
      </c>
    </row>
    <row r="178" spans="1:2" s="41" customFormat="1" ht="20.100000000000001" customHeight="1">
      <c r="A178" s="40" t="s">
        <v>57</v>
      </c>
      <c r="B178" s="40" t="s">
        <v>76</v>
      </c>
    </row>
    <row r="179" spans="1:2" s="41" customFormat="1" ht="20.100000000000001" customHeight="1">
      <c r="A179" s="40" t="s">
        <v>57</v>
      </c>
      <c r="B179" s="40" t="s">
        <v>76</v>
      </c>
    </row>
    <row r="180" spans="1:2" ht="20.100000000000001" customHeight="1">
      <c r="A180" s="1" t="s">
        <v>57</v>
      </c>
      <c r="B180" s="1" t="s">
        <v>76</v>
      </c>
    </row>
    <row r="181" spans="1:2" ht="20.100000000000001" customHeight="1">
      <c r="A181" s="1" t="s">
        <v>57</v>
      </c>
      <c r="B181" s="1" t="s">
        <v>76</v>
      </c>
    </row>
    <row r="182" spans="1:2" ht="20.100000000000001" customHeight="1">
      <c r="A182" s="1" t="s">
        <v>57</v>
      </c>
      <c r="B182" s="1" t="s">
        <v>76</v>
      </c>
    </row>
    <row r="183" spans="1:2" ht="20.100000000000001" customHeight="1">
      <c r="A183" s="1"/>
      <c r="B183" s="1"/>
    </row>
    <row r="184" spans="1:2" ht="20.100000000000001" customHeight="1">
      <c r="A184" s="2"/>
      <c r="B184" s="2"/>
    </row>
    <row r="185" spans="1:2" ht="20.100000000000001" customHeight="1">
      <c r="A185" s="54"/>
      <c r="B185" s="54"/>
    </row>
    <row r="186" spans="1:2" ht="20.100000000000001" customHeight="1">
      <c r="A186" s="37" t="s">
        <v>3</v>
      </c>
      <c r="B186" s="37" t="s">
        <v>4</v>
      </c>
    </row>
    <row r="187" spans="1:2" ht="20.100000000000001" customHeight="1">
      <c r="A187" s="1" t="s">
        <v>83</v>
      </c>
      <c r="B187" s="1" t="s">
        <v>83</v>
      </c>
    </row>
    <row r="188" spans="1:2" ht="20.100000000000001" customHeight="1">
      <c r="A188" s="1" t="s">
        <v>83</v>
      </c>
      <c r="B188" s="1" t="s">
        <v>85</v>
      </c>
    </row>
    <row r="189" spans="1:2" ht="20.100000000000001" customHeight="1">
      <c r="A189" s="1" t="s">
        <v>83</v>
      </c>
      <c r="B189" s="1" t="s">
        <v>87</v>
      </c>
    </row>
    <row r="190" spans="1:2" ht="20.100000000000001" customHeight="1">
      <c r="A190" s="1" t="s">
        <v>83</v>
      </c>
      <c r="B190" s="1" t="s">
        <v>89</v>
      </c>
    </row>
    <row r="191" spans="1:2" ht="20.100000000000001" customHeight="1">
      <c r="A191" s="1" t="s">
        <v>83</v>
      </c>
      <c r="B191" s="1" t="s">
        <v>83</v>
      </c>
    </row>
    <row r="192" spans="1:2" ht="20.100000000000001" customHeight="1">
      <c r="A192" s="1" t="s">
        <v>83</v>
      </c>
      <c r="B192" s="1" t="s">
        <v>83</v>
      </c>
    </row>
    <row r="193" spans="1:2" ht="20.100000000000001" customHeight="1">
      <c r="A193" s="1" t="s">
        <v>83</v>
      </c>
      <c r="B193" s="1" t="s">
        <v>87</v>
      </c>
    </row>
    <row r="194" spans="1:2" ht="20.100000000000001" customHeight="1">
      <c r="A194" s="1" t="s">
        <v>83</v>
      </c>
      <c r="B194" s="1" t="s">
        <v>85</v>
      </c>
    </row>
    <row r="195" spans="1:2" ht="20.100000000000001" customHeight="1">
      <c r="A195" s="1" t="s">
        <v>83</v>
      </c>
      <c r="B195" s="1" t="s">
        <v>89</v>
      </c>
    </row>
    <row r="196" spans="1:2" ht="20.100000000000001" customHeight="1">
      <c r="A196" s="1" t="s">
        <v>83</v>
      </c>
      <c r="B196" s="1" t="s">
        <v>83</v>
      </c>
    </row>
    <row r="197" spans="1:2" ht="20.100000000000001" customHeight="1">
      <c r="A197" s="1" t="s">
        <v>83</v>
      </c>
      <c r="B197" s="1" t="s">
        <v>85</v>
      </c>
    </row>
    <row r="198" spans="1:2" ht="20.100000000000001" customHeight="1">
      <c r="A198" s="1" t="s">
        <v>83</v>
      </c>
      <c r="B198" s="1" t="s">
        <v>83</v>
      </c>
    </row>
    <row r="199" spans="1:2" ht="20.100000000000001" customHeight="1">
      <c r="A199" s="1" t="s">
        <v>83</v>
      </c>
      <c r="B199" s="1" t="s">
        <v>83</v>
      </c>
    </row>
    <row r="200" spans="1:2" ht="20.100000000000001" customHeight="1">
      <c r="A200" s="1" t="s">
        <v>83</v>
      </c>
      <c r="B200" s="1" t="s">
        <v>83</v>
      </c>
    </row>
    <row r="201" spans="1:2" ht="20.100000000000001" customHeight="1">
      <c r="A201" s="1" t="s">
        <v>83</v>
      </c>
      <c r="B201" s="1" t="s">
        <v>83</v>
      </c>
    </row>
    <row r="202" spans="1:2" ht="20.100000000000001" customHeight="1">
      <c r="A202" s="1" t="s">
        <v>83</v>
      </c>
      <c r="B202" s="1" t="s">
        <v>83</v>
      </c>
    </row>
    <row r="203" spans="1:2" ht="20.100000000000001" customHeight="1">
      <c r="A203" s="1" t="s">
        <v>83</v>
      </c>
      <c r="B203" s="1" t="s">
        <v>83</v>
      </c>
    </row>
    <row r="204" spans="1:2" ht="20.100000000000001" customHeight="1">
      <c r="A204" s="1" t="s">
        <v>83</v>
      </c>
      <c r="B204" s="1" t="s">
        <v>85</v>
      </c>
    </row>
    <row r="205" spans="1:2" ht="20.100000000000001" customHeight="1">
      <c r="A205" s="1"/>
      <c r="B205" s="1"/>
    </row>
    <row r="206" spans="1:2" ht="20.100000000000001" customHeight="1">
      <c r="A206" s="1" t="s">
        <v>83</v>
      </c>
      <c r="B206" s="1" t="s">
        <v>89</v>
      </c>
    </row>
    <row r="207" spans="1:2" ht="20.100000000000001" customHeight="1">
      <c r="A207" s="2" t="s">
        <v>8</v>
      </c>
      <c r="B207" s="2" t="s">
        <v>8</v>
      </c>
    </row>
    <row r="208" spans="1:2" ht="20.100000000000001" customHeight="1">
      <c r="A208" s="53"/>
      <c r="B208" s="53"/>
    </row>
    <row r="209" spans="1:2" ht="20.100000000000001" customHeight="1">
      <c r="A209" s="37" t="s">
        <v>3</v>
      </c>
      <c r="B209" s="37" t="s">
        <v>4</v>
      </c>
    </row>
    <row r="210" spans="1:2" ht="20.100000000000001" customHeight="1">
      <c r="A210" s="1" t="s">
        <v>96</v>
      </c>
      <c r="B210" s="1" t="s">
        <v>96</v>
      </c>
    </row>
    <row r="211" spans="1:2" s="41" customFormat="1" ht="20.100000000000001" customHeight="1">
      <c r="A211" s="40" t="s">
        <v>96</v>
      </c>
      <c r="B211" s="40" t="s">
        <v>98</v>
      </c>
    </row>
    <row r="212" spans="1:2" s="41" customFormat="1" ht="20.100000000000001" customHeight="1">
      <c r="A212" s="40" t="s">
        <v>96</v>
      </c>
      <c r="B212" s="40" t="s">
        <v>100</v>
      </c>
    </row>
    <row r="213" spans="1:2" s="41" customFormat="1" ht="20.100000000000001" customHeight="1">
      <c r="A213" s="40" t="s">
        <v>96</v>
      </c>
      <c r="B213" s="40" t="s">
        <v>102</v>
      </c>
    </row>
    <row r="214" spans="1:2" s="41" customFormat="1" ht="20.100000000000001" customHeight="1">
      <c r="A214" s="40" t="s">
        <v>96</v>
      </c>
      <c r="B214" s="40" t="s">
        <v>100</v>
      </c>
    </row>
    <row r="215" spans="1:2" s="41" customFormat="1" ht="20.100000000000001" customHeight="1">
      <c r="A215" s="40" t="s">
        <v>96</v>
      </c>
      <c r="B215" s="40" t="s">
        <v>96</v>
      </c>
    </row>
    <row r="216" spans="1:2" s="41" customFormat="1" ht="20.100000000000001" customHeight="1">
      <c r="A216" s="40" t="s">
        <v>96</v>
      </c>
      <c r="B216" s="40" t="s">
        <v>96</v>
      </c>
    </row>
    <row r="217" spans="1:2" s="41" customFormat="1" ht="20.100000000000001" customHeight="1">
      <c r="A217" s="40" t="s">
        <v>96</v>
      </c>
      <c r="B217" s="40" t="s">
        <v>96</v>
      </c>
    </row>
    <row r="218" spans="1:2" s="41" customFormat="1" ht="20.100000000000001" customHeight="1">
      <c r="A218" s="40" t="s">
        <v>96</v>
      </c>
      <c r="B218" s="40" t="s">
        <v>96</v>
      </c>
    </row>
    <row r="219" spans="1:2" s="41" customFormat="1" ht="20.100000000000001" customHeight="1">
      <c r="A219" s="40" t="s">
        <v>96</v>
      </c>
      <c r="B219" s="40" t="s">
        <v>98</v>
      </c>
    </row>
    <row r="220" spans="1:2" s="41" customFormat="1" ht="20.100000000000001" customHeight="1">
      <c r="A220" s="40" t="s">
        <v>96</v>
      </c>
      <c r="B220" s="40" t="s">
        <v>102</v>
      </c>
    </row>
    <row r="221" spans="1:2" s="41" customFormat="1" ht="20.100000000000001" customHeight="1">
      <c r="A221" s="40" t="s">
        <v>96</v>
      </c>
      <c r="B221" s="40" t="s">
        <v>96</v>
      </c>
    </row>
    <row r="222" spans="1:2" s="41" customFormat="1" ht="20.100000000000001" customHeight="1">
      <c r="A222" s="40" t="s">
        <v>96</v>
      </c>
      <c r="B222" s="40" t="s">
        <v>96</v>
      </c>
    </row>
    <row r="223" spans="1:2" s="41" customFormat="1" ht="20.100000000000001" customHeight="1">
      <c r="A223" s="40" t="s">
        <v>96</v>
      </c>
      <c r="B223" s="40" t="s">
        <v>98</v>
      </c>
    </row>
    <row r="224" spans="1:2" s="41" customFormat="1" ht="20.100000000000001" customHeight="1">
      <c r="A224" s="40" t="s">
        <v>96</v>
      </c>
      <c r="B224" s="40" t="s">
        <v>100</v>
      </c>
    </row>
    <row r="225" spans="1:2" s="41" customFormat="1" ht="20.100000000000001" customHeight="1">
      <c r="A225" s="40" t="s">
        <v>96</v>
      </c>
      <c r="B225" s="40" t="s">
        <v>98</v>
      </c>
    </row>
    <row r="226" spans="1:2" s="41" customFormat="1" ht="20.100000000000001" customHeight="1">
      <c r="A226" s="40" t="s">
        <v>96</v>
      </c>
      <c r="B226" s="40" t="s">
        <v>102</v>
      </c>
    </row>
    <row r="227" spans="1:2" ht="20.100000000000001" customHeight="1">
      <c r="A227" s="2" t="s">
        <v>8</v>
      </c>
      <c r="B227" s="2" t="s">
        <v>8</v>
      </c>
    </row>
    <row r="228" spans="1:2" ht="20.100000000000001" customHeight="1">
      <c r="A228" s="52"/>
      <c r="B228" s="52"/>
    </row>
    <row r="229" spans="1:2" ht="20.100000000000001" customHeight="1">
      <c r="A229" s="37" t="s">
        <v>3</v>
      </c>
      <c r="B229" s="37" t="s">
        <v>4</v>
      </c>
    </row>
    <row r="230" spans="1:2" ht="20.100000000000001" customHeight="1">
      <c r="A230" s="1" t="s">
        <v>108</v>
      </c>
      <c r="B230" s="1" t="s">
        <v>108</v>
      </c>
    </row>
    <row r="231" spans="1:2" ht="20.100000000000001" customHeight="1">
      <c r="A231" s="1" t="s">
        <v>108</v>
      </c>
      <c r="B231" s="1" t="s">
        <v>110</v>
      </c>
    </row>
    <row r="232" spans="1:2" ht="20.100000000000001" customHeight="1">
      <c r="A232" s="1" t="s">
        <v>108</v>
      </c>
      <c r="B232" s="1" t="s">
        <v>112</v>
      </c>
    </row>
    <row r="233" spans="1:2" ht="20.100000000000001" customHeight="1">
      <c r="A233" s="1" t="s">
        <v>108</v>
      </c>
      <c r="B233" s="1" t="s">
        <v>108</v>
      </c>
    </row>
    <row r="234" spans="1:2" ht="20.100000000000001" customHeight="1">
      <c r="A234" s="1" t="s">
        <v>108</v>
      </c>
      <c r="B234" s="1" t="s">
        <v>110</v>
      </c>
    </row>
    <row r="235" spans="1:2" ht="20.100000000000001" customHeight="1">
      <c r="A235" s="1" t="s">
        <v>108</v>
      </c>
      <c r="B235" s="1" t="s">
        <v>112</v>
      </c>
    </row>
    <row r="236" spans="1:2" ht="20.100000000000001" customHeight="1">
      <c r="A236" s="1" t="s">
        <v>108</v>
      </c>
      <c r="B236" s="1" t="s">
        <v>117</v>
      </c>
    </row>
    <row r="237" spans="1:2" ht="20.100000000000001" customHeight="1">
      <c r="A237" s="1" t="s">
        <v>108</v>
      </c>
      <c r="B237" s="1" t="s">
        <v>117</v>
      </c>
    </row>
    <row r="238" spans="1:2" ht="20.100000000000001" customHeight="1">
      <c r="A238" s="1" t="s">
        <v>108</v>
      </c>
      <c r="B238" s="1" t="s">
        <v>112</v>
      </c>
    </row>
    <row r="239" spans="1:2" ht="20.100000000000001" customHeight="1">
      <c r="A239" s="1" t="s">
        <v>108</v>
      </c>
      <c r="B239" s="1" t="s">
        <v>110</v>
      </c>
    </row>
    <row r="240" spans="1:2" ht="20.100000000000001" customHeight="1">
      <c r="A240" s="1" t="s">
        <v>108</v>
      </c>
      <c r="B240" s="1" t="s">
        <v>112</v>
      </c>
    </row>
    <row r="241" spans="1:2" ht="20.100000000000001" customHeight="1">
      <c r="A241" s="1" t="s">
        <v>108</v>
      </c>
      <c r="B241" s="1" t="s">
        <v>108</v>
      </c>
    </row>
    <row r="242" spans="1:2" ht="20.100000000000001" customHeight="1">
      <c r="A242" s="1" t="s">
        <v>108</v>
      </c>
      <c r="B242" s="1" t="s">
        <v>112</v>
      </c>
    </row>
    <row r="243" spans="1:2" s="41" customFormat="1" ht="20.100000000000001" customHeight="1">
      <c r="A243" s="40" t="s">
        <v>108</v>
      </c>
      <c r="B243" s="40" t="s">
        <v>110</v>
      </c>
    </row>
    <row r="244" spans="1:2" s="41" customFormat="1" ht="20.100000000000001" customHeight="1">
      <c r="A244" s="40" t="s">
        <v>108</v>
      </c>
      <c r="B244" s="40" t="s">
        <v>112</v>
      </c>
    </row>
    <row r="245" spans="1:2" s="41" customFormat="1" ht="20.100000000000001" customHeight="1">
      <c r="A245" s="40" t="s">
        <v>108</v>
      </c>
      <c r="B245" s="40" t="s">
        <v>112</v>
      </c>
    </row>
    <row r="246" spans="1:2" s="41" customFormat="1" ht="20.100000000000001" customHeight="1">
      <c r="A246" s="40" t="s">
        <v>108</v>
      </c>
      <c r="B246" s="40" t="s">
        <v>110</v>
      </c>
    </row>
    <row r="247" spans="1:2" s="41" customFormat="1" ht="20.100000000000001" customHeight="1">
      <c r="A247" s="40" t="s">
        <v>108</v>
      </c>
      <c r="B247" s="40" t="s">
        <v>110</v>
      </c>
    </row>
    <row r="248" spans="1:2" s="41" customFormat="1" ht="20.100000000000001" customHeight="1">
      <c r="A248" s="40" t="s">
        <v>108</v>
      </c>
      <c r="B248" s="40" t="s">
        <v>117</v>
      </c>
    </row>
    <row r="249" spans="1:2" ht="20.100000000000001" customHeight="1">
      <c r="A249" s="2"/>
      <c r="B249" s="2"/>
    </row>
    <row r="250" spans="1:2" ht="20.100000000000001" customHeight="1">
      <c r="A250" s="51"/>
      <c r="B250" s="51"/>
    </row>
    <row r="251" spans="1:2" ht="20.100000000000001" customHeight="1">
      <c r="A251" s="37" t="s">
        <v>3</v>
      </c>
      <c r="B251" s="37" t="s">
        <v>4</v>
      </c>
    </row>
    <row r="252" spans="1:2" ht="20.100000000000001" customHeight="1">
      <c r="A252" s="1" t="s">
        <v>120</v>
      </c>
      <c r="B252" s="1" t="s">
        <v>120</v>
      </c>
    </row>
    <row r="253" spans="1:2" ht="20.100000000000001" customHeight="1">
      <c r="A253" s="1" t="s">
        <v>120</v>
      </c>
      <c r="B253" s="1" t="s">
        <v>120</v>
      </c>
    </row>
    <row r="254" spans="1:2" ht="20.100000000000001" customHeight="1">
      <c r="A254" s="1" t="s">
        <v>120</v>
      </c>
      <c r="B254" s="1" t="s">
        <v>120</v>
      </c>
    </row>
    <row r="255" spans="1:2" ht="20.100000000000001" customHeight="1">
      <c r="A255" s="1" t="s">
        <v>120</v>
      </c>
      <c r="B255" s="1" t="s">
        <v>120</v>
      </c>
    </row>
    <row r="256" spans="1:2" ht="20.100000000000001" customHeight="1">
      <c r="A256" s="1" t="s">
        <v>120</v>
      </c>
      <c r="B256" s="1" t="s">
        <v>120</v>
      </c>
    </row>
    <row r="257" spans="1:2" ht="20.100000000000001" customHeight="1">
      <c r="A257" s="1" t="s">
        <v>120</v>
      </c>
      <c r="B257" s="1" t="s">
        <v>120</v>
      </c>
    </row>
    <row r="258" spans="1:2" ht="20.100000000000001" customHeight="1">
      <c r="A258" s="1" t="s">
        <v>120</v>
      </c>
      <c r="B258" s="1" t="s">
        <v>120</v>
      </c>
    </row>
    <row r="259" spans="1:2" ht="20.100000000000001" customHeight="1">
      <c r="A259" s="1" t="s">
        <v>120</v>
      </c>
      <c r="B259" s="1" t="s">
        <v>120</v>
      </c>
    </row>
    <row r="260" spans="1:2" ht="20.100000000000001" customHeight="1">
      <c r="A260" s="1" t="s">
        <v>120</v>
      </c>
      <c r="B260" s="1" t="s">
        <v>120</v>
      </c>
    </row>
    <row r="261" spans="1:2" ht="20.100000000000001" customHeight="1">
      <c r="A261" s="2" t="s">
        <v>8</v>
      </c>
      <c r="B261" s="2" t="s">
        <v>8</v>
      </c>
    </row>
    <row r="262" spans="1:2" ht="20.100000000000001" customHeight="1">
      <c r="A262" s="50"/>
      <c r="B262" s="50"/>
    </row>
    <row r="263" spans="1:2" ht="20.100000000000001" customHeight="1">
      <c r="A263" s="37" t="s">
        <v>3</v>
      </c>
      <c r="B263" s="37" t="s">
        <v>4</v>
      </c>
    </row>
    <row r="264" spans="1:2" ht="20.100000000000001" customHeight="1">
      <c r="A264" s="1" t="s">
        <v>132</v>
      </c>
      <c r="B264" s="1" t="s">
        <v>131</v>
      </c>
    </row>
    <row r="265" spans="1:2" ht="20.100000000000001" customHeight="1">
      <c r="A265" s="1" t="s">
        <v>132</v>
      </c>
      <c r="B265" s="1" t="s">
        <v>131</v>
      </c>
    </row>
    <row r="266" spans="1:2" ht="20.100000000000001" customHeight="1">
      <c r="A266" s="1" t="s">
        <v>132</v>
      </c>
      <c r="B266" s="1" t="s">
        <v>131</v>
      </c>
    </row>
    <row r="267" spans="1:2" ht="20.100000000000001" customHeight="1">
      <c r="A267" s="1" t="s">
        <v>132</v>
      </c>
      <c r="B267" s="1" t="s">
        <v>131</v>
      </c>
    </row>
    <row r="268" spans="1:2" ht="20.100000000000001" customHeight="1">
      <c r="A268" s="1" t="s">
        <v>132</v>
      </c>
      <c r="B268" s="1" t="s">
        <v>131</v>
      </c>
    </row>
    <row r="269" spans="1:2" ht="20.100000000000001" customHeight="1">
      <c r="A269" s="1" t="s">
        <v>132</v>
      </c>
      <c r="B269" s="1" t="s">
        <v>131</v>
      </c>
    </row>
    <row r="270" spans="1:2" ht="20.100000000000001" customHeight="1">
      <c r="A270" s="2" t="s">
        <v>8</v>
      </c>
      <c r="B270" s="2" t="s">
        <v>8</v>
      </c>
    </row>
    <row r="271" spans="1:2" ht="20.100000000000001" customHeight="1">
      <c r="A271" s="49"/>
      <c r="B271" s="49"/>
    </row>
    <row r="272" spans="1:2" ht="20.100000000000001" customHeight="1">
      <c r="A272" s="37" t="s">
        <v>138</v>
      </c>
      <c r="B272" s="37" t="s">
        <v>4</v>
      </c>
    </row>
    <row r="273" spans="1:2" ht="20.100000000000001" customHeight="1">
      <c r="A273" s="1" t="s">
        <v>139</v>
      </c>
      <c r="B273" s="1" t="s">
        <v>139</v>
      </c>
    </row>
    <row r="274" spans="1:2" ht="20.100000000000001" customHeight="1">
      <c r="A274" s="1" t="s">
        <v>139</v>
      </c>
      <c r="B274" s="1" t="s">
        <v>139</v>
      </c>
    </row>
    <row r="275" spans="1:2" ht="20.100000000000001" customHeight="1">
      <c r="A275" s="1" t="s">
        <v>139</v>
      </c>
      <c r="B275" s="1" t="s">
        <v>139</v>
      </c>
    </row>
    <row r="276" spans="1:2" ht="20.100000000000001" customHeight="1">
      <c r="A276" s="1" t="s">
        <v>139</v>
      </c>
      <c r="B276" s="1" t="s">
        <v>139</v>
      </c>
    </row>
    <row r="277" spans="1:2" ht="20.100000000000001" customHeight="1">
      <c r="A277" s="1" t="s">
        <v>139</v>
      </c>
      <c r="B277" s="1" t="s">
        <v>139</v>
      </c>
    </row>
    <row r="278" spans="1:2" ht="20.100000000000001" customHeight="1">
      <c r="A278" s="1" t="s">
        <v>139</v>
      </c>
      <c r="B278" s="1" t="s">
        <v>139</v>
      </c>
    </row>
    <row r="279" spans="1:2" ht="20.100000000000001" customHeight="1">
      <c r="A279" s="2" t="s">
        <v>8</v>
      </c>
      <c r="B279" s="2" t="s">
        <v>8</v>
      </c>
    </row>
    <row r="280" spans="1:2" ht="19.5" customHeight="1">
      <c r="A280" s="48"/>
      <c r="B280" s="48"/>
    </row>
    <row r="281" spans="1:2" ht="19.5" customHeight="1">
      <c r="A281" s="37" t="s">
        <v>138</v>
      </c>
      <c r="B281" s="37" t="s">
        <v>4</v>
      </c>
    </row>
    <row r="282" spans="1:2" ht="19.5" customHeight="1">
      <c r="A282" s="1" t="s">
        <v>108</v>
      </c>
      <c r="B282" s="1" t="s">
        <v>110</v>
      </c>
    </row>
    <row r="283" spans="1:2" ht="19.5" customHeight="1">
      <c r="A283" s="1"/>
      <c r="B283" s="1"/>
    </row>
    <row r="284" spans="1:2">
      <c r="A284" s="44"/>
      <c r="B284" s="44"/>
    </row>
    <row r="285" spans="1:2">
      <c r="A285" s="48"/>
      <c r="B285" s="48"/>
    </row>
    <row r="286" spans="1:2" ht="18.75" customHeight="1">
      <c r="A286" s="37" t="s">
        <v>138</v>
      </c>
      <c r="B286" s="37" t="s">
        <v>4</v>
      </c>
    </row>
    <row r="287" spans="1:2" ht="16.5" customHeight="1">
      <c r="A287" s="38" t="s">
        <v>57</v>
      </c>
      <c r="B287" s="38" t="s">
        <v>68</v>
      </c>
    </row>
    <row r="288" spans="1:2">
      <c r="A288" s="39"/>
      <c r="B288" s="39"/>
    </row>
  </sheetData>
  <pageMargins left="0.75" right="0.75" top="1" bottom="1" header="0.5" footer="0.5"/>
  <pageSetup paperSize="9" scale="63" orientation="landscape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3" sqref="C3"/>
    </sheetView>
  </sheetViews>
  <sheetFormatPr defaultRowHeight="14.25"/>
  <cols>
    <col min="1" max="1" width="53.375" bestFit="1" customWidth="1"/>
    <col min="2" max="2" width="9.5" customWidth="1"/>
    <col min="3" max="3" width="12.375" bestFit="1" customWidth="1"/>
  </cols>
  <sheetData>
    <row r="1" spans="1:3" ht="16.5" thickBot="1">
      <c r="A1" s="19" t="s">
        <v>147</v>
      </c>
      <c r="B1" s="20" t="s">
        <v>148</v>
      </c>
      <c r="C1" s="20" t="s">
        <v>149</v>
      </c>
    </row>
    <row r="2" spans="1:3" ht="16.5" thickBot="1">
      <c r="A2" s="21" t="s">
        <v>0</v>
      </c>
      <c r="B2" s="31" t="s">
        <v>7</v>
      </c>
      <c r="C2" s="22">
        <f>COUNTIF('Força de Trabalho - AEB'!A:A,B2)</f>
        <v>3</v>
      </c>
    </row>
    <row r="3" spans="1:3" ht="16.5" thickBot="1">
      <c r="A3" s="23" t="s">
        <v>24</v>
      </c>
      <c r="B3" s="32" t="s">
        <v>26</v>
      </c>
      <c r="C3" s="24">
        <f>COUNTIF('Força de Trabalho - AEB'!A:A,B3)</f>
        <v>12</v>
      </c>
    </row>
    <row r="4" spans="1:3" ht="16.5" thickBot="1">
      <c r="A4" s="25" t="s">
        <v>32</v>
      </c>
      <c r="B4" s="33" t="s">
        <v>34</v>
      </c>
      <c r="C4" s="26">
        <f>COUNTIF('Força de Trabalho - AEB'!A:A,B4)</f>
        <v>0</v>
      </c>
    </row>
    <row r="5" spans="1:3" ht="16.5" thickBot="1">
      <c r="A5" s="23" t="s">
        <v>35</v>
      </c>
      <c r="B5" s="32" t="s">
        <v>36</v>
      </c>
      <c r="C5" s="24">
        <f>COUNTIF('Força de Trabalho - AEB'!A:A,B5)</f>
        <v>12</v>
      </c>
    </row>
    <row r="6" spans="1:3" ht="16.5" thickBot="1">
      <c r="A6" s="25" t="s">
        <v>47</v>
      </c>
      <c r="B6" s="33" t="s">
        <v>49</v>
      </c>
      <c r="C6" s="26">
        <f>COUNTIF('Força de Trabalho - AEB'!A:A,B6)</f>
        <v>6</v>
      </c>
    </row>
    <row r="7" spans="1:3" ht="16.5" thickBot="1">
      <c r="A7" s="23" t="s">
        <v>42</v>
      </c>
      <c r="B7" s="32" t="s">
        <v>45</v>
      </c>
      <c r="C7" s="24">
        <f>COUNTIF('Força de Trabalho - AEB'!A:A,B7)</f>
        <v>4</v>
      </c>
    </row>
    <row r="8" spans="1:3" ht="16.5" thickBot="1">
      <c r="A8" s="25" t="s">
        <v>51</v>
      </c>
      <c r="B8" s="33" t="s">
        <v>53</v>
      </c>
      <c r="C8" s="26">
        <f>COUNTIF('Força de Trabalho - AEB'!A:A,B8)</f>
        <v>3</v>
      </c>
    </row>
    <row r="9" spans="1:3" ht="16.5" thickBot="1">
      <c r="A9" s="23" t="s">
        <v>54</v>
      </c>
      <c r="B9" s="32" t="s">
        <v>57</v>
      </c>
      <c r="C9" s="24">
        <v>76</v>
      </c>
    </row>
    <row r="10" spans="1:3" ht="16.5" thickBot="1">
      <c r="A10" s="25" t="s">
        <v>150</v>
      </c>
      <c r="B10" s="33" t="s">
        <v>83</v>
      </c>
      <c r="C10" s="26">
        <f>COUNTIF('Força de Trabalho - AEB'!A:A,B10)</f>
        <v>19</v>
      </c>
    </row>
    <row r="11" spans="1:3" ht="16.5" thickBot="1">
      <c r="A11" s="23" t="s">
        <v>94</v>
      </c>
      <c r="B11" s="32" t="s">
        <v>96</v>
      </c>
      <c r="C11" s="24">
        <f>COUNTIF('Força de Trabalho - AEB'!A:A,B11)</f>
        <v>17</v>
      </c>
    </row>
    <row r="12" spans="1:3" ht="16.5" thickBot="1">
      <c r="A12" s="25" t="s">
        <v>151</v>
      </c>
      <c r="B12" s="33" t="s">
        <v>108</v>
      </c>
      <c r="C12" s="26">
        <f>COUNTIF('Força de Trabalho - AEB'!A:A,B12)</f>
        <v>20</v>
      </c>
    </row>
    <row r="13" spans="1:3" ht="16.5" thickBot="1">
      <c r="A13" s="23" t="s">
        <v>9</v>
      </c>
      <c r="B13" s="32" t="s">
        <v>12</v>
      </c>
      <c r="C13" s="24">
        <f>COUNTIF('Força de Trabalho - AEB'!A:A,B13)</f>
        <v>8</v>
      </c>
    </row>
    <row r="14" spans="1:3" ht="16.5" thickBot="1">
      <c r="A14" s="25" t="s">
        <v>15</v>
      </c>
      <c r="B14" s="33" t="s">
        <v>17</v>
      </c>
      <c r="C14" s="26">
        <f>COUNTIF('Força de Trabalho - AEB'!A:A,B14)</f>
        <v>7</v>
      </c>
    </row>
    <row r="15" spans="1:3" ht="16.5" thickBot="1">
      <c r="A15" s="23" t="s">
        <v>18</v>
      </c>
      <c r="B15" s="32" t="s">
        <v>20</v>
      </c>
      <c r="C15" s="24">
        <f>COUNTIF('Força de Trabalho - AEB'!A:A,B15)</f>
        <v>5</v>
      </c>
    </row>
    <row r="16" spans="1:3" ht="16.5" thickBot="1">
      <c r="A16" s="27" t="s">
        <v>152</v>
      </c>
      <c r="B16" s="33" t="s">
        <v>152</v>
      </c>
      <c r="C16" s="28">
        <f>SUM(C2:C15)</f>
        <v>192</v>
      </c>
    </row>
  </sheetData>
  <pageMargins left="0.511811024" right="0.511811024" top="0.78740157499999996" bottom="0.78740157499999996" header="0.31496062000000002" footer="0.31496062000000002"/>
  <pageSetup paperSize="9"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J14" sqref="J14"/>
    </sheetView>
  </sheetViews>
  <sheetFormatPr defaultRowHeight="14.25"/>
  <cols>
    <col min="1" max="1" width="42.25" bestFit="1" customWidth="1"/>
    <col min="2" max="2" width="30.875" customWidth="1"/>
    <col min="3" max="3" width="23.25" customWidth="1"/>
  </cols>
  <sheetData>
    <row r="1" spans="1:3" ht="71.25" customHeight="1">
      <c r="A1" s="45" t="s">
        <v>153</v>
      </c>
      <c r="B1" s="46"/>
      <c r="C1" s="46"/>
    </row>
    <row r="2" spans="1:3" ht="21.75" customHeight="1">
      <c r="A2" s="13" t="s">
        <v>154</v>
      </c>
      <c r="B2" s="13" t="s">
        <v>2</v>
      </c>
      <c r="C2" s="13" t="s">
        <v>155</v>
      </c>
    </row>
    <row r="3" spans="1:3">
      <c r="A3" s="14" t="s">
        <v>118</v>
      </c>
      <c r="B3" s="14" t="s">
        <v>119</v>
      </c>
      <c r="C3" s="15" t="s">
        <v>156</v>
      </c>
    </row>
    <row r="4" spans="1:3">
      <c r="A4" s="14" t="s">
        <v>121</v>
      </c>
      <c r="B4" s="14" t="s">
        <v>119</v>
      </c>
      <c r="C4" s="15" t="s">
        <v>157</v>
      </c>
    </row>
    <row r="5" spans="1:3">
      <c r="A5" s="14" t="s">
        <v>142</v>
      </c>
      <c r="B5" s="14" t="s">
        <v>119</v>
      </c>
      <c r="C5" s="15" t="s">
        <v>158</v>
      </c>
    </row>
    <row r="6" spans="1:3">
      <c r="A6" s="14" t="s">
        <v>122</v>
      </c>
      <c r="B6" s="14" t="s">
        <v>119</v>
      </c>
      <c r="C6" s="15" t="s">
        <v>159</v>
      </c>
    </row>
    <row r="7" spans="1:3">
      <c r="A7" s="14" t="s">
        <v>160</v>
      </c>
      <c r="B7" s="14" t="s">
        <v>119</v>
      </c>
      <c r="C7" s="15"/>
    </row>
    <row r="8" spans="1:3">
      <c r="A8" s="14" t="s">
        <v>123</v>
      </c>
      <c r="B8" s="14" t="s">
        <v>119</v>
      </c>
      <c r="C8" s="15"/>
    </row>
    <row r="9" spans="1:3">
      <c r="A9" s="14" t="s">
        <v>124</v>
      </c>
      <c r="B9" s="14" t="s">
        <v>119</v>
      </c>
      <c r="C9" s="15" t="s">
        <v>161</v>
      </c>
    </row>
    <row r="10" spans="1:3">
      <c r="A10" s="14" t="s">
        <v>125</v>
      </c>
      <c r="B10" s="14" t="s">
        <v>119</v>
      </c>
      <c r="C10" s="15" t="s">
        <v>162</v>
      </c>
    </row>
    <row r="11" spans="1:3">
      <c r="A11" s="14" t="s">
        <v>126</v>
      </c>
      <c r="B11" s="14" t="s">
        <v>119</v>
      </c>
      <c r="C11" s="15" t="s">
        <v>163</v>
      </c>
    </row>
    <row r="12" spans="1:3">
      <c r="A12" s="14" t="s">
        <v>127</v>
      </c>
      <c r="B12" s="14" t="s">
        <v>119</v>
      </c>
      <c r="C12" s="15" t="s">
        <v>164</v>
      </c>
    </row>
    <row r="13" spans="1:3" ht="42.75">
      <c r="A13" s="14" t="s">
        <v>128</v>
      </c>
      <c r="B13" s="14" t="s">
        <v>119</v>
      </c>
      <c r="C13" s="15" t="s">
        <v>165</v>
      </c>
    </row>
    <row r="14" spans="1:3">
      <c r="A14" s="16" t="s">
        <v>129</v>
      </c>
      <c r="B14" s="16" t="s">
        <v>130</v>
      </c>
      <c r="C14" s="17" t="s">
        <v>166</v>
      </c>
    </row>
    <row r="15" spans="1:3" ht="85.5">
      <c r="A15" s="16" t="s">
        <v>133</v>
      </c>
      <c r="B15" s="16" t="s">
        <v>130</v>
      </c>
      <c r="C15" s="34" t="s">
        <v>167</v>
      </c>
    </row>
    <row r="16" spans="1:3">
      <c r="A16" s="16" t="s">
        <v>134</v>
      </c>
      <c r="B16" s="16" t="s">
        <v>130</v>
      </c>
      <c r="C16" s="18" t="s">
        <v>168</v>
      </c>
    </row>
    <row r="17" spans="1:3">
      <c r="A17" s="16" t="s">
        <v>145</v>
      </c>
      <c r="B17" s="16" t="s">
        <v>130</v>
      </c>
      <c r="C17" s="18" t="s">
        <v>169</v>
      </c>
    </row>
    <row r="18" spans="1:3">
      <c r="A18" s="16" t="s">
        <v>135</v>
      </c>
      <c r="B18" s="16" t="s">
        <v>130</v>
      </c>
      <c r="C18" s="18" t="s">
        <v>170</v>
      </c>
    </row>
    <row r="19" spans="1:3">
      <c r="A19" s="16" t="s">
        <v>136</v>
      </c>
      <c r="B19" s="16" t="s">
        <v>130</v>
      </c>
      <c r="C19" s="18" t="s">
        <v>171</v>
      </c>
    </row>
    <row r="20" spans="1:3">
      <c r="A20" s="14" t="s">
        <v>172</v>
      </c>
      <c r="B20" s="14" t="s">
        <v>173</v>
      </c>
      <c r="C20" s="15" t="s">
        <v>174</v>
      </c>
    </row>
    <row r="21" spans="1:3">
      <c r="A21" s="14" t="s">
        <v>140</v>
      </c>
      <c r="B21" s="14" t="s">
        <v>173</v>
      </c>
      <c r="C21" s="15" t="s">
        <v>175</v>
      </c>
    </row>
    <row r="22" spans="1:3">
      <c r="A22" s="14" t="s">
        <v>141</v>
      </c>
      <c r="B22" s="14" t="s">
        <v>173</v>
      </c>
      <c r="C22" s="15" t="s">
        <v>176</v>
      </c>
    </row>
  </sheetData>
  <autoFilter ref="A2:C2"/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opLeftCell="A15" workbookViewId="0">
      <selection activeCell="I16" sqref="I16"/>
    </sheetView>
  </sheetViews>
  <sheetFormatPr defaultRowHeight="14.25"/>
  <cols>
    <col min="1" max="1" width="41.125" style="30" customWidth="1"/>
    <col min="2" max="2" width="16.5" style="30" customWidth="1"/>
    <col min="3" max="16384" width="9" style="30"/>
  </cols>
  <sheetData>
    <row r="1" spans="1:2" ht="58.5" customHeight="1">
      <c r="A1" s="47" t="s">
        <v>177</v>
      </c>
      <c r="B1" s="47"/>
    </row>
    <row r="2" spans="1:2" ht="15">
      <c r="A2" s="3" t="s">
        <v>1</v>
      </c>
      <c r="B2" s="29" t="s">
        <v>2</v>
      </c>
    </row>
    <row r="3" spans="1:2">
      <c r="A3" s="4" t="s">
        <v>143</v>
      </c>
      <c r="B3" s="1" t="s">
        <v>13</v>
      </c>
    </row>
    <row r="4" spans="1:2">
      <c r="A4" s="4" t="s">
        <v>16</v>
      </c>
      <c r="B4" s="1" t="s">
        <v>13</v>
      </c>
    </row>
    <row r="5" spans="1:2">
      <c r="A5" s="4" t="s">
        <v>50</v>
      </c>
      <c r="B5" s="1" t="s">
        <v>11</v>
      </c>
    </row>
    <row r="6" spans="1:2">
      <c r="A6" s="4" t="s">
        <v>116</v>
      </c>
      <c r="B6" s="1" t="s">
        <v>13</v>
      </c>
    </row>
    <row r="7" spans="1:2">
      <c r="A7" s="4" t="s">
        <v>19</v>
      </c>
      <c r="B7" s="1" t="s">
        <v>13</v>
      </c>
    </row>
    <row r="8" spans="1:2">
      <c r="A8" s="4" t="s">
        <v>109</v>
      </c>
      <c r="B8" s="1" t="s">
        <v>13</v>
      </c>
    </row>
    <row r="9" spans="1:2">
      <c r="A9" s="4" t="s">
        <v>178</v>
      </c>
      <c r="B9" s="1" t="s">
        <v>11</v>
      </c>
    </row>
    <row r="10" spans="1:2">
      <c r="A10" s="4" t="s">
        <v>179</v>
      </c>
      <c r="B10" s="1" t="s">
        <v>11</v>
      </c>
    </row>
    <row r="11" spans="1:2">
      <c r="A11" s="4" t="s">
        <v>60</v>
      </c>
      <c r="B11" s="1" t="s">
        <v>13</v>
      </c>
    </row>
    <row r="12" spans="1:2">
      <c r="A12" s="4" t="s">
        <v>114</v>
      </c>
      <c r="B12" s="1" t="s">
        <v>13</v>
      </c>
    </row>
    <row r="13" spans="1:2">
      <c r="A13" s="4" t="s">
        <v>58</v>
      </c>
      <c r="B13" s="1" t="s">
        <v>11</v>
      </c>
    </row>
    <row r="14" spans="1:2">
      <c r="A14" s="4" t="s">
        <v>97</v>
      </c>
      <c r="B14" s="1" t="s">
        <v>13</v>
      </c>
    </row>
    <row r="15" spans="1:2">
      <c r="A15" s="4" t="s">
        <v>137</v>
      </c>
      <c r="B15" s="1" t="s">
        <v>146</v>
      </c>
    </row>
    <row r="16" spans="1:2">
      <c r="A16" s="4" t="s">
        <v>69</v>
      </c>
      <c r="B16" s="1" t="s">
        <v>11</v>
      </c>
    </row>
    <row r="17" spans="1:2">
      <c r="A17" s="4" t="s">
        <v>73</v>
      </c>
      <c r="B17" s="1" t="s">
        <v>13</v>
      </c>
    </row>
    <row r="18" spans="1:2">
      <c r="A18" s="4" t="s">
        <v>77</v>
      </c>
      <c r="B18" s="1" t="s">
        <v>11</v>
      </c>
    </row>
    <row r="19" spans="1:2">
      <c r="A19" s="4" t="s">
        <v>180</v>
      </c>
      <c r="B19" s="1" t="s">
        <v>11</v>
      </c>
    </row>
    <row r="20" spans="1:2">
      <c r="A20" s="4" t="s">
        <v>10</v>
      </c>
      <c r="B20" s="1" t="s">
        <v>11</v>
      </c>
    </row>
    <row r="21" spans="1:2">
      <c r="A21" s="4" t="s">
        <v>113</v>
      </c>
      <c r="B21" s="1" t="s">
        <v>11</v>
      </c>
    </row>
    <row r="22" spans="1:2">
      <c r="A22" s="4" t="s">
        <v>79</v>
      </c>
      <c r="B22" s="1" t="s">
        <v>13</v>
      </c>
    </row>
    <row r="23" spans="1:2">
      <c r="A23" s="4" t="s">
        <v>31</v>
      </c>
      <c r="B23" s="1" t="s">
        <v>11</v>
      </c>
    </row>
    <row r="24" spans="1:2">
      <c r="A24" s="4" t="s">
        <v>88</v>
      </c>
      <c r="B24" s="1" t="s">
        <v>70</v>
      </c>
    </row>
    <row r="25" spans="1:2">
      <c r="A25" s="4" t="s">
        <v>99</v>
      </c>
      <c r="B25" s="1" t="s">
        <v>13</v>
      </c>
    </row>
    <row r="26" spans="1:2">
      <c r="A26" s="4" t="s">
        <v>101</v>
      </c>
      <c r="B26" s="1" t="s">
        <v>13</v>
      </c>
    </row>
    <row r="27" spans="1:2">
      <c r="A27" s="4" t="s">
        <v>33</v>
      </c>
      <c r="B27" s="1" t="s">
        <v>11</v>
      </c>
    </row>
    <row r="28" spans="1:2">
      <c r="A28" s="4" t="s">
        <v>86</v>
      </c>
      <c r="B28" s="1" t="s">
        <v>13</v>
      </c>
    </row>
    <row r="29" spans="1:2">
      <c r="A29" s="4" t="s">
        <v>59</v>
      </c>
      <c r="B29" s="1" t="s">
        <v>56</v>
      </c>
    </row>
    <row r="30" spans="1:2">
      <c r="A30" s="4" t="s">
        <v>66</v>
      </c>
      <c r="B30" s="1" t="s">
        <v>11</v>
      </c>
    </row>
    <row r="31" spans="1:2">
      <c r="A31" s="4" t="s">
        <v>80</v>
      </c>
      <c r="B31" s="1" t="s">
        <v>13</v>
      </c>
    </row>
    <row r="32" spans="1:2">
      <c r="A32" s="4" t="s">
        <v>181</v>
      </c>
      <c r="B32" s="1" t="s">
        <v>13</v>
      </c>
    </row>
    <row r="33" spans="1:2">
      <c r="A33" s="4" t="s">
        <v>182</v>
      </c>
      <c r="B33" s="1" t="s">
        <v>11</v>
      </c>
    </row>
    <row r="34" spans="1:2">
      <c r="A34" s="4" t="s">
        <v>65</v>
      </c>
      <c r="B34" s="1" t="s">
        <v>13</v>
      </c>
    </row>
    <row r="35" spans="1:2">
      <c r="A35" s="4" t="s">
        <v>46</v>
      </c>
      <c r="B35" s="1" t="s">
        <v>44</v>
      </c>
    </row>
    <row r="36" spans="1:2">
      <c r="A36" s="4" t="s">
        <v>43</v>
      </c>
      <c r="B36" s="1" t="s">
        <v>44</v>
      </c>
    </row>
    <row r="37" spans="1:2">
      <c r="A37" s="4" t="s">
        <v>93</v>
      </c>
      <c r="B37" s="1" t="s">
        <v>13</v>
      </c>
    </row>
    <row r="38" spans="1:2">
      <c r="A38" s="4" t="s">
        <v>115</v>
      </c>
      <c r="B38" s="1" t="s">
        <v>13</v>
      </c>
    </row>
    <row r="39" spans="1:2">
      <c r="A39" s="4" t="s">
        <v>27</v>
      </c>
      <c r="B39" s="1" t="s">
        <v>13</v>
      </c>
    </row>
    <row r="40" spans="1:2">
      <c r="A40" s="4" t="s">
        <v>183</v>
      </c>
      <c r="B40" s="1" t="s">
        <v>13</v>
      </c>
    </row>
    <row r="41" spans="1:2">
      <c r="A41" s="4" t="s">
        <v>23</v>
      </c>
      <c r="B41" s="1" t="s">
        <v>146</v>
      </c>
    </row>
    <row r="42" spans="1:2">
      <c r="A42" s="4" t="s">
        <v>184</v>
      </c>
      <c r="B42" s="1" t="s">
        <v>11</v>
      </c>
    </row>
    <row r="43" spans="1:2">
      <c r="A43" s="4" t="s">
        <v>185</v>
      </c>
      <c r="B43" s="1" t="s">
        <v>11</v>
      </c>
    </row>
    <row r="44" spans="1:2">
      <c r="A44" s="4" t="s">
        <v>103</v>
      </c>
      <c r="B44" s="1" t="s">
        <v>11</v>
      </c>
    </row>
    <row r="45" spans="1:2">
      <c r="A45" s="4" t="s">
        <v>104</v>
      </c>
      <c r="B45" s="1" t="s">
        <v>13</v>
      </c>
    </row>
    <row r="46" spans="1:2">
      <c r="A46" s="4" t="s">
        <v>111</v>
      </c>
      <c r="B46" s="1" t="s">
        <v>6</v>
      </c>
    </row>
    <row r="47" spans="1:2">
      <c r="A47" s="4" t="s">
        <v>25</v>
      </c>
      <c r="B47" s="1" t="s">
        <v>11</v>
      </c>
    </row>
    <row r="48" spans="1:2">
      <c r="A48" s="4" t="s">
        <v>37</v>
      </c>
      <c r="B48" s="1" t="s">
        <v>38</v>
      </c>
    </row>
    <row r="49" spans="1:2">
      <c r="A49" s="4" t="s">
        <v>67</v>
      </c>
      <c r="B49" s="1" t="s">
        <v>56</v>
      </c>
    </row>
    <row r="50" spans="1:2">
      <c r="A50" s="4" t="s">
        <v>48</v>
      </c>
      <c r="B50" s="1" t="s">
        <v>6</v>
      </c>
    </row>
    <row r="51" spans="1:2">
      <c r="A51" s="4" t="s">
        <v>84</v>
      </c>
      <c r="B51" s="1" t="s">
        <v>13</v>
      </c>
    </row>
    <row r="52" spans="1:2">
      <c r="A52" s="4" t="s">
        <v>5</v>
      </c>
      <c r="B52" s="1" t="s">
        <v>6</v>
      </c>
    </row>
    <row r="53" spans="1:2">
      <c r="A53" s="4" t="s">
        <v>186</v>
      </c>
      <c r="B53" s="1" t="s">
        <v>11</v>
      </c>
    </row>
    <row r="54" spans="1:2">
      <c r="A54" s="4" t="s">
        <v>21</v>
      </c>
      <c r="B54" s="1" t="s">
        <v>6</v>
      </c>
    </row>
    <row r="55" spans="1:2">
      <c r="A55" s="4" t="s">
        <v>105</v>
      </c>
      <c r="B55" s="1" t="s">
        <v>13</v>
      </c>
    </row>
    <row r="56" spans="1:2">
      <c r="A56" s="4" t="s">
        <v>90</v>
      </c>
      <c r="B56" s="1" t="s">
        <v>11</v>
      </c>
    </row>
    <row r="57" spans="1:2">
      <c r="A57" s="4" t="s">
        <v>106</v>
      </c>
      <c r="B57" s="1" t="s">
        <v>107</v>
      </c>
    </row>
    <row r="58" spans="1:2">
      <c r="A58" s="4" t="s">
        <v>62</v>
      </c>
      <c r="B58" s="1" t="s">
        <v>13</v>
      </c>
    </row>
    <row r="59" spans="1:2">
      <c r="A59" s="4" t="s">
        <v>91</v>
      </c>
      <c r="B59" s="1" t="s">
        <v>13</v>
      </c>
    </row>
    <row r="60" spans="1:2">
      <c r="A60" s="4" t="s">
        <v>28</v>
      </c>
      <c r="B60" s="1" t="s">
        <v>13</v>
      </c>
    </row>
    <row r="61" spans="1:2">
      <c r="A61" s="4" t="s">
        <v>63</v>
      </c>
      <c r="B61" s="1" t="s">
        <v>64</v>
      </c>
    </row>
    <row r="62" spans="1:2">
      <c r="A62" s="4" t="s">
        <v>187</v>
      </c>
      <c r="B62" s="1" t="s">
        <v>52</v>
      </c>
    </row>
    <row r="63" spans="1:2">
      <c r="A63" s="4" t="s">
        <v>74</v>
      </c>
      <c r="B63" s="1" t="s">
        <v>13</v>
      </c>
    </row>
    <row r="64" spans="1:2">
      <c r="A64" s="4" t="s">
        <v>95</v>
      </c>
      <c r="B64" s="1" t="s">
        <v>13</v>
      </c>
    </row>
    <row r="65" spans="1:2">
      <c r="A65" s="4" t="s">
        <v>82</v>
      </c>
      <c r="B65" s="1" t="s">
        <v>64</v>
      </c>
    </row>
    <row r="66" spans="1:2">
      <c r="A66" s="4" t="s">
        <v>30</v>
      </c>
      <c r="B66" s="1" t="s">
        <v>13</v>
      </c>
    </row>
    <row r="67" spans="1:2">
      <c r="A67" s="4" t="s">
        <v>92</v>
      </c>
      <c r="B67" s="1" t="s">
        <v>13</v>
      </c>
    </row>
    <row r="68" spans="1:2">
      <c r="A68" s="4" t="s">
        <v>78</v>
      </c>
      <c r="B68" s="1" t="s">
        <v>56</v>
      </c>
    </row>
    <row r="69" spans="1:2">
      <c r="A69" s="4" t="s">
        <v>40</v>
      </c>
      <c r="B69" s="1" t="s">
        <v>11</v>
      </c>
    </row>
    <row r="70" spans="1:2">
      <c r="A70" s="4" t="s">
        <v>75</v>
      </c>
      <c r="B70" s="1" t="s">
        <v>11</v>
      </c>
    </row>
    <row r="71" spans="1:2">
      <c r="A71" s="4" t="s">
        <v>55</v>
      </c>
      <c r="B71" s="1" t="s">
        <v>56</v>
      </c>
    </row>
    <row r="72" spans="1:2">
      <c r="A72" s="4" t="s">
        <v>71</v>
      </c>
      <c r="B72" s="1" t="s">
        <v>13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G4" sqref="G4"/>
    </sheetView>
  </sheetViews>
  <sheetFormatPr defaultRowHeight="14.25"/>
  <cols>
    <col min="1" max="1" width="40.75" bestFit="1" customWidth="1"/>
    <col min="2" max="2" width="26.375" customWidth="1"/>
  </cols>
  <sheetData>
    <row r="1" spans="1:2" ht="15.75" thickBot="1">
      <c r="A1" s="7" t="s">
        <v>144</v>
      </c>
      <c r="B1" s="8" t="s">
        <v>188</v>
      </c>
    </row>
    <row r="2" spans="1:2" ht="15" thickBot="1">
      <c r="A2" s="5" t="s">
        <v>137</v>
      </c>
      <c r="B2" s="9" t="s">
        <v>189</v>
      </c>
    </row>
    <row r="3" spans="1:2" ht="15" thickBot="1">
      <c r="A3" s="6" t="s">
        <v>23</v>
      </c>
      <c r="B3" s="10" t="s">
        <v>190</v>
      </c>
    </row>
    <row r="6" spans="1:2" ht="15.75" thickBot="1">
      <c r="A6" s="11" t="s">
        <v>191</v>
      </c>
      <c r="B6" s="12" t="s">
        <v>188</v>
      </c>
    </row>
    <row r="7" spans="1:2" ht="15" thickBot="1">
      <c r="A7" s="6" t="s">
        <v>104</v>
      </c>
      <c r="B7" s="10" t="s">
        <v>192</v>
      </c>
    </row>
    <row r="8" spans="1:2" ht="15" thickBot="1">
      <c r="A8" s="6" t="s">
        <v>181</v>
      </c>
      <c r="B8" s="10" t="s">
        <v>193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G21" sqref="G21"/>
    </sheetView>
  </sheetViews>
  <sheetFormatPr defaultRowHeight="14.25"/>
  <cols>
    <col min="1" max="1" width="24.625" bestFit="1" customWidth="1"/>
    <col min="2" max="2" width="10.25" customWidth="1"/>
  </cols>
  <sheetData>
    <row r="1" spans="1:4">
      <c r="A1" t="s">
        <v>194</v>
      </c>
      <c r="B1" t="s">
        <v>195</v>
      </c>
      <c r="C1" t="s">
        <v>196</v>
      </c>
      <c r="D1" t="s">
        <v>197</v>
      </c>
    </row>
    <row r="2" spans="1:4">
      <c r="A2" t="s">
        <v>22</v>
      </c>
      <c r="B2">
        <v>34</v>
      </c>
      <c r="C2">
        <v>20</v>
      </c>
      <c r="D2">
        <f>B2+C2</f>
        <v>54</v>
      </c>
    </row>
    <row r="3" spans="1:4">
      <c r="A3" t="s">
        <v>14</v>
      </c>
      <c r="B3">
        <v>31</v>
      </c>
      <c r="C3">
        <v>29</v>
      </c>
      <c r="D3">
        <f t="shared" ref="D3:D4" si="0">B3+C3</f>
        <v>60</v>
      </c>
    </row>
    <row r="4" spans="1:4">
      <c r="A4" t="s">
        <v>29</v>
      </c>
      <c r="B4">
        <v>13</v>
      </c>
      <c r="C4">
        <v>29</v>
      </c>
      <c r="D4">
        <f t="shared" si="0"/>
        <v>42</v>
      </c>
    </row>
    <row r="5" spans="1:4">
      <c r="D5">
        <f>D2+D3+D4</f>
        <v>156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1CE3C52F5D444EBA7DB58AE8AFBB7A" ma:contentTypeVersion="3" ma:contentTypeDescription="Crie um novo documento." ma:contentTypeScope="" ma:versionID="4058376bfcea936a049f037020fa8bfa">
  <xsd:schema xmlns:xsd="http://www.w3.org/2001/XMLSchema" xmlns:xs="http://www.w3.org/2001/XMLSchema" xmlns:p="http://schemas.microsoft.com/office/2006/metadata/properties" xmlns:ns2="e8c29b40-bc22-4c61-b5a8-52394e9fb822" targetNamespace="http://schemas.microsoft.com/office/2006/metadata/properties" ma:root="true" ma:fieldsID="e2cbe58af328460a480e1a58efcd24ca" ns2:_="">
    <xsd:import namespace="e8c29b40-bc22-4c61-b5a8-52394e9fb8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29b40-bc22-4c61-b5a8-52394e9fb8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4E080D-B56D-4BA7-A78D-DCEAB12428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c29b40-bc22-4c61-b5a8-52394e9fb8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4D6E98-F3F6-420C-A996-73CD0537FB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1F12019-1AAC-45E9-8E31-716359CF915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8b74a75-003b-45bf-8f43-8133f61650e0}" enabled="0" method="" siteId="{58b74a75-003b-45bf-8f43-8133f61650e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Força de Trabalho - AEB</vt:lpstr>
      <vt:lpstr>Quantidade por área</vt:lpstr>
      <vt:lpstr>REQUISITADOS - CEDIDOS - MOVI.</vt:lpstr>
      <vt:lpstr>EFETIVOS E SEM VÍNCULO</vt:lpstr>
      <vt:lpstr>LICENÇAS</vt:lpstr>
      <vt:lpstr>Cargos vagos</vt:lpstr>
      <vt:lpstr>'Força de Trabalho - AEB'!Area_de_impressao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axlsx</dc:creator>
  <cp:keywords/>
  <dc:description/>
  <cp:lastModifiedBy>Gabriel Madureira de Jesus Silva</cp:lastModifiedBy>
  <cp:revision>0</cp:revision>
  <dcterms:created xsi:type="dcterms:W3CDTF">2024-08-15T12:44:27Z</dcterms:created>
  <dcterms:modified xsi:type="dcterms:W3CDTF">2026-05-13T14:52:21Z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0x0101006C1CE3C52F5D444EBA7DB58AE8AFBB7A</vt:lpwstr>
  </property>
</Properties>
</file>